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Lenovo\OneDrive\Desktop\MCC 3rd Quater Fin. Quarterly report, Porg. actvity Report  &amp; 4th Quater  Fund Requst &amp; Action Plan\New folder\"/>
    </mc:Choice>
  </mc:AlternateContent>
  <xr:revisionPtr revIDLastSave="0" documentId="13_ncr:1_{6D192E08-E616-435B-999E-E5A9F3BB6687}" xr6:coauthVersionLast="47" xr6:coauthVersionMax="47" xr10:uidLastSave="{00000000-0000-0000-0000-000000000000}"/>
  <bookViews>
    <workbookView xWindow="-120" yWindow="-120" windowWidth="29040" windowHeight="15720" tabRatio="749" firstSheet="1" activeTab="5" xr2:uid="{00000000-000D-0000-FFFF-FFFF00000000}"/>
  </bookViews>
  <sheets>
    <sheet name="Yr-2Approved Budget" sheetId="1" r:id="rId1"/>
    <sheet name="Summary Sheet" sheetId="2" r:id="rId2"/>
    <sheet name="Budget Comparison" sheetId="3" r:id="rId3"/>
    <sheet name=" Qtr-1 April-24 to June-24 " sheetId="4" r:id="rId4"/>
    <sheet name=" Qtr- 2 July-24 to Sept-24  (2)" sheetId="5" r:id="rId5"/>
    <sheet name=" Qtr-3 Octo-24 to Dec-24" sheetId="6" r:id="rId6"/>
    <sheet name=" Qtr-4 Jan-25 to march-2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68" i="6" l="1"/>
  <c r="I207" i="6"/>
  <c r="I411" i="6"/>
  <c r="I426" i="6"/>
  <c r="I427" i="6" s="1"/>
  <c r="I422" i="6"/>
  <c r="I419" i="6"/>
  <c r="I416" i="6"/>
  <c r="I404" i="6"/>
  <c r="I405" i="6" s="1"/>
  <c r="I390" i="6"/>
  <c r="I385" i="6"/>
  <c r="I380" i="6"/>
  <c r="I373" i="6"/>
  <c r="I368" i="6"/>
  <c r="I374" i="6" s="1"/>
  <c r="I363" i="6"/>
  <c r="I348" i="6"/>
  <c r="I343" i="6"/>
  <c r="I337" i="6"/>
  <c r="I326" i="6"/>
  <c r="I332" i="6" s="1"/>
  <c r="I319" i="6"/>
  <c r="I316" i="6"/>
  <c r="I312" i="6"/>
  <c r="I307" i="6"/>
  <c r="I320" i="6" s="1"/>
  <c r="I297" i="6"/>
  <c r="I298" i="6" s="1"/>
  <c r="I294" i="6"/>
  <c r="I289" i="6"/>
  <c r="I285" i="6"/>
  <c r="I280" i="6"/>
  <c r="I281" i="6" s="1"/>
  <c r="I275" i="6"/>
  <c r="I267" i="6"/>
  <c r="I268" i="6" s="1"/>
  <c r="I261" i="6"/>
  <c r="I254" i="6"/>
  <c r="I249" i="6"/>
  <c r="I240" i="6"/>
  <c r="I239" i="6"/>
  <c r="I234" i="6"/>
  <c r="I235" i="6" s="1"/>
  <c r="I231" i="6"/>
  <c r="I226" i="6"/>
  <c r="I223" i="6"/>
  <c r="I227" i="6" s="1"/>
  <c r="I219" i="6"/>
  <c r="I218" i="6"/>
  <c r="I213" i="6"/>
  <c r="I214" i="6" s="1"/>
  <c r="I202" i="6"/>
  <c r="I201" i="6"/>
  <c r="I195" i="6"/>
  <c r="I186" i="6"/>
  <c r="I187" i="6" s="1"/>
  <c r="I181" i="6"/>
  <c r="I174" i="6"/>
  <c r="I175" i="6" s="1"/>
  <c r="I170" i="6"/>
  <c r="I166" i="6"/>
  <c r="I156" i="6"/>
  <c r="I157" i="6" s="1"/>
  <c r="I153" i="6"/>
  <c r="I149" i="6"/>
  <c r="I145" i="6"/>
  <c r="I139" i="6"/>
  <c r="I140" i="6" s="1"/>
  <c r="I134" i="6"/>
  <c r="I130" i="6"/>
  <c r="I126" i="6"/>
  <c r="I120" i="6"/>
  <c r="I116" i="6"/>
  <c r="I112" i="6"/>
  <c r="I108" i="6"/>
  <c r="I121" i="6" s="1"/>
  <c r="I102" i="6"/>
  <c r="I103" i="6" s="1"/>
  <c r="I98" i="6"/>
  <c r="I94" i="6"/>
  <c r="I90" i="6"/>
  <c r="I73" i="6"/>
  <c r="I76" i="6"/>
  <c r="I79" i="6"/>
  <c r="I82" i="6"/>
  <c r="I83" i="6" s="1"/>
  <c r="I69" i="6"/>
  <c r="I59" i="6"/>
  <c r="I55" i="6"/>
  <c r="I45" i="6"/>
  <c r="I46" i="6" s="1"/>
  <c r="I41" i="6"/>
  <c r="I36" i="6"/>
  <c r="I24" i="6"/>
  <c r="I25" i="6" s="1"/>
  <c r="I18" i="6"/>
  <c r="F24" i="6"/>
  <c r="F174" i="6"/>
  <c r="F326" i="6"/>
  <c r="F373" i="6"/>
  <c r="F385" i="6"/>
  <c r="F390" i="6"/>
  <c r="F411" i="6"/>
  <c r="F404" i="6"/>
  <c r="F316" i="6"/>
  <c r="F348" i="6"/>
  <c r="F363" i="6"/>
  <c r="F45" i="6"/>
  <c r="F63" i="6"/>
  <c r="F51" i="6"/>
  <c r="F416" i="6"/>
  <c r="F368" i="6"/>
  <c r="F18" i="6"/>
  <c r="F307" i="6"/>
  <c r="D9" i="6"/>
  <c r="D12" i="6" s="1"/>
  <c r="I299" i="6" l="1"/>
  <c r="I333" i="6"/>
  <c r="I84" i="6"/>
  <c r="I241" i="6"/>
  <c r="I334" i="6" s="1"/>
  <c r="I428" i="6" s="1"/>
  <c r="I327" i="6"/>
  <c r="F23" i="5"/>
  <c r="F326" i="5"/>
  <c r="F331" i="5"/>
  <c r="F315" i="5"/>
  <c r="F310" i="5"/>
  <c r="F299" i="5"/>
  <c r="F293" i="5"/>
  <c r="F346" i="5"/>
  <c r="F43" i="5"/>
  <c r="E138" i="3" l="1"/>
  <c r="D9" i="5"/>
  <c r="D12" i="5" s="1"/>
  <c r="D391" i="7"/>
  <c r="C391" i="7"/>
  <c r="F390" i="7"/>
  <c r="H390" i="7" s="1"/>
  <c r="F386" i="7"/>
  <c r="H386" i="7" s="1"/>
  <c r="F383" i="7"/>
  <c r="H383" i="7" s="1"/>
  <c r="F380" i="7"/>
  <c r="H380" i="7" s="1"/>
  <c r="F376" i="7"/>
  <c r="H376" i="7" s="1"/>
  <c r="D371" i="7"/>
  <c r="C371" i="7"/>
  <c r="F370" i="7"/>
  <c r="G138" i="3" s="1"/>
  <c r="F367" i="7"/>
  <c r="H367" i="7" s="1"/>
  <c r="F363" i="7"/>
  <c r="F359" i="7"/>
  <c r="D354" i="7"/>
  <c r="C354" i="7"/>
  <c r="F353" i="7"/>
  <c r="H353" i="7" s="1"/>
  <c r="F349" i="7"/>
  <c r="H349" i="7" s="1"/>
  <c r="F346" i="7"/>
  <c r="H346" i="7" s="1"/>
  <c r="F340" i="7"/>
  <c r="H340" i="7" s="1"/>
  <c r="F335" i="7"/>
  <c r="H335" i="7" s="1"/>
  <c r="F329" i="7"/>
  <c r="D329" i="7"/>
  <c r="C329" i="7"/>
  <c r="D324" i="7"/>
  <c r="C324" i="7"/>
  <c r="F323" i="7"/>
  <c r="F324" i="7" s="1"/>
  <c r="I319" i="7"/>
  <c r="D319" i="7"/>
  <c r="C319" i="7"/>
  <c r="F318" i="7"/>
  <c r="H318" i="7" s="1"/>
  <c r="D313" i="7"/>
  <c r="C313" i="7"/>
  <c r="F312" i="7"/>
  <c r="H312" i="7" s="1"/>
  <c r="F309" i="7"/>
  <c r="F305" i="7"/>
  <c r="H305" i="7" s="1"/>
  <c r="F300" i="7"/>
  <c r="H300" i="7" s="1"/>
  <c r="D292" i="7"/>
  <c r="C292" i="7"/>
  <c r="F291" i="7"/>
  <c r="H291" i="7" s="1"/>
  <c r="F288" i="7"/>
  <c r="F283" i="7"/>
  <c r="G104" i="3" s="1"/>
  <c r="F279" i="7"/>
  <c r="H279" i="7" s="1"/>
  <c r="D275" i="7"/>
  <c r="C275" i="7"/>
  <c r="F274" i="7"/>
  <c r="G100" i="3" s="1"/>
  <c r="F269" i="7"/>
  <c r="H269" i="7" s="1"/>
  <c r="D262" i="7"/>
  <c r="C262" i="7"/>
  <c r="F261" i="7"/>
  <c r="G96" i="3" s="1"/>
  <c r="F255" i="7"/>
  <c r="H255" i="7" s="1"/>
  <c r="F248" i="7"/>
  <c r="G94" i="3" s="1"/>
  <c r="F243" i="7"/>
  <c r="F234" i="7"/>
  <c r="D234" i="7"/>
  <c r="C234" i="7"/>
  <c r="D231" i="7"/>
  <c r="C231" i="7"/>
  <c r="F230" i="7"/>
  <c r="G85" i="3" s="1"/>
  <c r="F227" i="7"/>
  <c r="H227" i="7" s="1"/>
  <c r="D223" i="7"/>
  <c r="C223" i="7"/>
  <c r="F222" i="7"/>
  <c r="G81" i="3" s="1"/>
  <c r="F219" i="7"/>
  <c r="D215" i="7"/>
  <c r="C215" i="7"/>
  <c r="F214" i="7"/>
  <c r="F215" i="7" s="1"/>
  <c r="I210" i="7"/>
  <c r="D210" i="7"/>
  <c r="C210" i="7"/>
  <c r="F209" i="7"/>
  <c r="F203" i="7"/>
  <c r="H203" i="7" s="1"/>
  <c r="D198" i="7"/>
  <c r="C198" i="7"/>
  <c r="F197" i="7"/>
  <c r="G70" i="3" s="1"/>
  <c r="F191" i="7"/>
  <c r="D183" i="7"/>
  <c r="C183" i="7"/>
  <c r="F182" i="7"/>
  <c r="H182" i="7" s="1"/>
  <c r="F177" i="7"/>
  <c r="H177" i="7" s="1"/>
  <c r="D171" i="7"/>
  <c r="C171" i="7"/>
  <c r="F170" i="7"/>
  <c r="H170" i="7" s="1"/>
  <c r="F167" i="7"/>
  <c r="H167" i="7" s="1"/>
  <c r="F163" i="7"/>
  <c r="H163" i="7" s="1"/>
  <c r="F159" i="7"/>
  <c r="H159" i="7" s="1"/>
  <c r="D154" i="7"/>
  <c r="C154" i="7"/>
  <c r="F153" i="7"/>
  <c r="H153" i="7" s="1"/>
  <c r="F150" i="7"/>
  <c r="H150" i="7" s="1"/>
  <c r="F146" i="7"/>
  <c r="F142" i="7"/>
  <c r="D137" i="7"/>
  <c r="C137" i="7"/>
  <c r="F136" i="7"/>
  <c r="H136" i="7" s="1"/>
  <c r="F131" i="7"/>
  <c r="H131" i="7" s="1"/>
  <c r="F127" i="7"/>
  <c r="F123" i="7"/>
  <c r="G47" i="3" s="1"/>
  <c r="D118" i="7"/>
  <c r="C118" i="7"/>
  <c r="F117" i="7"/>
  <c r="H117" i="7" s="1"/>
  <c r="F113" i="7"/>
  <c r="G43" i="3" s="1"/>
  <c r="F109" i="7"/>
  <c r="F105" i="7"/>
  <c r="G41" i="3" s="1"/>
  <c r="D100" i="7"/>
  <c r="C100" i="7"/>
  <c r="F99" i="7"/>
  <c r="F95" i="7"/>
  <c r="H95" i="7" s="1"/>
  <c r="F91" i="7"/>
  <c r="H91" i="7" s="1"/>
  <c r="F87" i="7"/>
  <c r="H87" i="7" s="1"/>
  <c r="C80" i="7"/>
  <c r="F79" i="7"/>
  <c r="F75" i="7"/>
  <c r="H75" i="7" s="1"/>
  <c r="F71" i="7"/>
  <c r="H71" i="7" s="1"/>
  <c r="F68" i="7"/>
  <c r="G27" i="3" s="1"/>
  <c r="D64" i="7"/>
  <c r="C64" i="7"/>
  <c r="F63" i="7"/>
  <c r="F64" i="7" s="1"/>
  <c r="D59" i="7"/>
  <c r="C59" i="7"/>
  <c r="F58" i="7"/>
  <c r="G21" i="3" s="1"/>
  <c r="F54" i="7"/>
  <c r="G20" i="3" s="1"/>
  <c r="F50" i="7"/>
  <c r="G19" i="3" s="1"/>
  <c r="F46" i="7"/>
  <c r="G18" i="3" s="1"/>
  <c r="D42" i="7"/>
  <c r="C42" i="7"/>
  <c r="F41" i="7"/>
  <c r="F37" i="7"/>
  <c r="H37" i="7" s="1"/>
  <c r="F33" i="7"/>
  <c r="H33" i="7" s="1"/>
  <c r="F28" i="7"/>
  <c r="H28" i="7" s="1"/>
  <c r="I22" i="7"/>
  <c r="D22" i="7"/>
  <c r="C22" i="7"/>
  <c r="F21" i="7"/>
  <c r="F16" i="7"/>
  <c r="D9" i="7"/>
  <c r="D11" i="7" s="1"/>
  <c r="H6" i="7"/>
  <c r="D427" i="6"/>
  <c r="C427" i="6"/>
  <c r="F426" i="6"/>
  <c r="H426" i="6" s="1"/>
  <c r="F422" i="6"/>
  <c r="H422" i="6" s="1"/>
  <c r="F419" i="6"/>
  <c r="H419" i="6" s="1"/>
  <c r="H416" i="6"/>
  <c r="F141" i="3"/>
  <c r="D405" i="6"/>
  <c r="C405" i="6"/>
  <c r="H404" i="6"/>
  <c r="H390" i="6"/>
  <c r="F380" i="6"/>
  <c r="F135" i="3" s="1"/>
  <c r="D374" i="6"/>
  <c r="C374" i="6"/>
  <c r="H373" i="6"/>
  <c r="H368" i="6"/>
  <c r="H363" i="6"/>
  <c r="H348" i="6"/>
  <c r="F343" i="6"/>
  <c r="H343" i="6" s="1"/>
  <c r="F337" i="6"/>
  <c r="D337" i="6"/>
  <c r="C337" i="6"/>
  <c r="D332" i="6"/>
  <c r="C332" i="6"/>
  <c r="D327" i="6"/>
  <c r="C327" i="6"/>
  <c r="F332" i="6"/>
  <c r="D320" i="6"/>
  <c r="C320" i="6"/>
  <c r="F319" i="6"/>
  <c r="H319" i="6" s="1"/>
  <c r="F312" i="6"/>
  <c r="D298" i="6"/>
  <c r="C298" i="6"/>
  <c r="F297" i="6"/>
  <c r="H297" i="6" s="1"/>
  <c r="F294" i="6"/>
  <c r="F105" i="3" s="1"/>
  <c r="F289" i="6"/>
  <c r="H289" i="6" s="1"/>
  <c r="F285" i="6"/>
  <c r="H285" i="6" s="1"/>
  <c r="D281" i="6"/>
  <c r="C281" i="6"/>
  <c r="F280" i="6"/>
  <c r="H280" i="6" s="1"/>
  <c r="F275" i="6"/>
  <c r="F99" i="3" s="1"/>
  <c r="D268" i="6"/>
  <c r="C268" i="6"/>
  <c r="F267" i="6"/>
  <c r="H267" i="6" s="1"/>
  <c r="F261" i="6"/>
  <c r="H261" i="6" s="1"/>
  <c r="F254" i="6"/>
  <c r="F249" i="6"/>
  <c r="F93" i="3" s="1"/>
  <c r="F240" i="6"/>
  <c r="D240" i="6"/>
  <c r="C240" i="6"/>
  <c r="F239" i="6"/>
  <c r="H239" i="6" s="1"/>
  <c r="D235" i="6"/>
  <c r="C235" i="6"/>
  <c r="F234" i="6"/>
  <c r="F85" i="3" s="1"/>
  <c r="F231" i="6"/>
  <c r="H231" i="6" s="1"/>
  <c r="D227" i="6"/>
  <c r="C227" i="6"/>
  <c r="F226" i="6"/>
  <c r="F223" i="6"/>
  <c r="F80" i="3" s="1"/>
  <c r="D219" i="6"/>
  <c r="C219" i="6"/>
  <c r="F218" i="6"/>
  <c r="F219" i="6" s="1"/>
  <c r="D214" i="6"/>
  <c r="C214" i="6"/>
  <c r="F213" i="6"/>
  <c r="F74" i="3" s="1"/>
  <c r="F207" i="6"/>
  <c r="F73" i="3" s="1"/>
  <c r="D202" i="6"/>
  <c r="C202" i="6"/>
  <c r="F201" i="6"/>
  <c r="F195" i="6"/>
  <c r="F69" i="3" s="1"/>
  <c r="D187" i="6"/>
  <c r="C187" i="6"/>
  <c r="F186" i="6"/>
  <c r="F66" i="3" s="1"/>
  <c r="F181" i="6"/>
  <c r="H181" i="6" s="1"/>
  <c r="D175" i="6"/>
  <c r="C175" i="6"/>
  <c r="H174" i="6"/>
  <c r="F170" i="6"/>
  <c r="H170" i="6" s="1"/>
  <c r="F166" i="6"/>
  <c r="H166" i="6" s="1"/>
  <c r="F162" i="6"/>
  <c r="F59" i="3" s="1"/>
  <c r="D157" i="6"/>
  <c r="C157" i="6"/>
  <c r="F156" i="6"/>
  <c r="H156" i="6" s="1"/>
  <c r="F153" i="6"/>
  <c r="H153" i="6" s="1"/>
  <c r="F149" i="6"/>
  <c r="F145" i="6"/>
  <c r="H145" i="6" s="1"/>
  <c r="D140" i="6"/>
  <c r="C140" i="6"/>
  <c r="F139" i="6"/>
  <c r="F50" i="3" s="1"/>
  <c r="F134" i="6"/>
  <c r="H134" i="6" s="1"/>
  <c r="F130" i="6"/>
  <c r="H130" i="6" s="1"/>
  <c r="F126" i="6"/>
  <c r="H126" i="6" s="1"/>
  <c r="D121" i="6"/>
  <c r="C121" i="6"/>
  <c r="F120" i="6"/>
  <c r="H120" i="6" s="1"/>
  <c r="F116" i="6"/>
  <c r="F43" i="3" s="1"/>
  <c r="F112" i="6"/>
  <c r="F42" i="3" s="1"/>
  <c r="F108" i="6"/>
  <c r="H108" i="6" s="1"/>
  <c r="D103" i="6"/>
  <c r="C103" i="6"/>
  <c r="F102" i="6"/>
  <c r="H102" i="6" s="1"/>
  <c r="F98" i="6"/>
  <c r="H98" i="6" s="1"/>
  <c r="F94" i="6"/>
  <c r="H94" i="6" s="1"/>
  <c r="F90" i="6"/>
  <c r="H90" i="6" s="1"/>
  <c r="C83" i="6"/>
  <c r="F82" i="6"/>
  <c r="F30" i="3" s="1"/>
  <c r="F79" i="6"/>
  <c r="H79" i="6" s="1"/>
  <c r="F76" i="6"/>
  <c r="H76" i="6" s="1"/>
  <c r="F73" i="6"/>
  <c r="H73" i="6" s="1"/>
  <c r="D69" i="6"/>
  <c r="C69" i="6"/>
  <c r="F68" i="6"/>
  <c r="F69" i="6" s="1"/>
  <c r="D64" i="6"/>
  <c r="C64" i="6"/>
  <c r="F59" i="6"/>
  <c r="F20" i="3" s="1"/>
  <c r="F55" i="6"/>
  <c r="F19" i="3" s="1"/>
  <c r="H51" i="6"/>
  <c r="D46" i="6"/>
  <c r="C46" i="6"/>
  <c r="F15" i="3"/>
  <c r="F41" i="6"/>
  <c r="H41" i="6" s="1"/>
  <c r="F36" i="6"/>
  <c r="F13" i="3" s="1"/>
  <c r="F31" i="6"/>
  <c r="H31" i="6" s="1"/>
  <c r="D25" i="6"/>
  <c r="C25" i="6"/>
  <c r="F25" i="6"/>
  <c r="H18" i="6"/>
  <c r="H6" i="6"/>
  <c r="D371" i="5"/>
  <c r="C371" i="5"/>
  <c r="F370" i="5"/>
  <c r="H370" i="5" s="1"/>
  <c r="F366" i="5"/>
  <c r="H366" i="5" s="1"/>
  <c r="F363" i="5"/>
  <c r="H363" i="5" s="1"/>
  <c r="F360" i="5"/>
  <c r="F353" i="5"/>
  <c r="D347" i="5"/>
  <c r="C347" i="5"/>
  <c r="H331" i="5"/>
  <c r="H326" i="5"/>
  <c r="F321" i="5"/>
  <c r="H321" i="5" s="1"/>
  <c r="D316" i="5"/>
  <c r="C316" i="5"/>
  <c r="H315" i="5"/>
  <c r="F305" i="5"/>
  <c r="E130" i="3" s="1"/>
  <c r="H299" i="5"/>
  <c r="E128" i="3"/>
  <c r="F286" i="5"/>
  <c r="D286" i="5"/>
  <c r="C286" i="5"/>
  <c r="D281" i="5"/>
  <c r="C281" i="5"/>
  <c r="I276" i="5"/>
  <c r="D276" i="5"/>
  <c r="C276" i="5"/>
  <c r="F275" i="5"/>
  <c r="D269" i="5"/>
  <c r="C269" i="5"/>
  <c r="F268" i="5"/>
  <c r="H268" i="5" s="1"/>
  <c r="F261" i="5"/>
  <c r="F256" i="5"/>
  <c r="D248" i="5"/>
  <c r="C248" i="5"/>
  <c r="F247" i="5"/>
  <c r="H247" i="5" s="1"/>
  <c r="F244" i="5"/>
  <c r="H244" i="5" s="1"/>
  <c r="F241" i="5"/>
  <c r="H241" i="5" s="1"/>
  <c r="F238" i="5"/>
  <c r="H238" i="5" s="1"/>
  <c r="D234" i="5"/>
  <c r="C234" i="5"/>
  <c r="F233" i="5"/>
  <c r="F230" i="5"/>
  <c r="D226" i="5"/>
  <c r="C226" i="5"/>
  <c r="F225" i="5"/>
  <c r="F222" i="5"/>
  <c r="F219" i="5"/>
  <c r="F216" i="5"/>
  <c r="H216" i="5" s="1"/>
  <c r="F210" i="5"/>
  <c r="E88" i="3" s="1"/>
  <c r="E89" i="3" s="1"/>
  <c r="D210" i="5"/>
  <c r="C210" i="5"/>
  <c r="D207" i="5"/>
  <c r="C207" i="5"/>
  <c r="F206" i="5"/>
  <c r="H206" i="5" s="1"/>
  <c r="F203" i="5"/>
  <c r="H203" i="5" s="1"/>
  <c r="D199" i="5"/>
  <c r="C199" i="5"/>
  <c r="F198" i="5"/>
  <c r="E81" i="3" s="1"/>
  <c r="F195" i="5"/>
  <c r="E80" i="3" s="1"/>
  <c r="D191" i="5"/>
  <c r="C191" i="5"/>
  <c r="F190" i="5"/>
  <c r="H190" i="5" s="1"/>
  <c r="I186" i="5"/>
  <c r="D186" i="5"/>
  <c r="C186" i="5"/>
  <c r="F185" i="5"/>
  <c r="H185" i="5" s="1"/>
  <c r="F182" i="5"/>
  <c r="H182" i="5" s="1"/>
  <c r="D178" i="5"/>
  <c r="C178" i="5"/>
  <c r="F177" i="5"/>
  <c r="F174" i="5"/>
  <c r="E69" i="3" s="1"/>
  <c r="D170" i="5"/>
  <c r="C170" i="5"/>
  <c r="F169" i="5"/>
  <c r="E66" i="3" s="1"/>
  <c r="F165" i="5"/>
  <c r="H165" i="5" s="1"/>
  <c r="D160" i="5"/>
  <c r="C160" i="5"/>
  <c r="F159" i="5"/>
  <c r="H159" i="5" s="1"/>
  <c r="F156" i="5"/>
  <c r="H156" i="5" s="1"/>
  <c r="F153" i="5"/>
  <c r="E60" i="3" s="1"/>
  <c r="F150" i="5"/>
  <c r="E59" i="3" s="1"/>
  <c r="D146" i="5"/>
  <c r="C146" i="5"/>
  <c r="F145" i="5"/>
  <c r="E56" i="3" s="1"/>
  <c r="F142" i="5"/>
  <c r="H142" i="5" s="1"/>
  <c r="F138" i="5"/>
  <c r="E54" i="3" s="1"/>
  <c r="F135" i="5"/>
  <c r="H135" i="5" s="1"/>
  <c r="D131" i="5"/>
  <c r="C131" i="5"/>
  <c r="F130" i="5"/>
  <c r="E50" i="3" s="1"/>
  <c r="F126" i="5"/>
  <c r="E49" i="3" s="1"/>
  <c r="F122" i="5"/>
  <c r="E48" i="3" s="1"/>
  <c r="F118" i="5"/>
  <c r="H118" i="5" s="1"/>
  <c r="D113" i="5"/>
  <c r="C113" i="5"/>
  <c r="F112" i="5"/>
  <c r="E44" i="3" s="1"/>
  <c r="F108" i="5"/>
  <c r="H108" i="5" s="1"/>
  <c r="F104" i="5"/>
  <c r="E42" i="3" s="1"/>
  <c r="F100" i="5"/>
  <c r="H100" i="5" s="1"/>
  <c r="D95" i="5"/>
  <c r="C95" i="5"/>
  <c r="F94" i="5"/>
  <c r="H94" i="5" s="1"/>
  <c r="F90" i="5"/>
  <c r="H90" i="5" s="1"/>
  <c r="F86" i="5"/>
  <c r="H86" i="5" s="1"/>
  <c r="F82" i="5"/>
  <c r="H82" i="5" s="1"/>
  <c r="C75" i="5"/>
  <c r="F74" i="5"/>
  <c r="H74" i="5" s="1"/>
  <c r="F71" i="5"/>
  <c r="E29" i="3" s="1"/>
  <c r="F68" i="5"/>
  <c r="H68" i="5" s="1"/>
  <c r="F65" i="5"/>
  <c r="E27" i="3" s="1"/>
  <c r="C61" i="5"/>
  <c r="F60" i="5"/>
  <c r="H60" i="5" s="1"/>
  <c r="D56" i="5"/>
  <c r="C56" i="5"/>
  <c r="F55" i="5"/>
  <c r="E21" i="3" s="1"/>
  <c r="F51" i="5"/>
  <c r="E20" i="3" s="1"/>
  <c r="F47" i="5"/>
  <c r="H47" i="5" s="1"/>
  <c r="H43" i="5"/>
  <c r="D38" i="5"/>
  <c r="C38" i="5"/>
  <c r="F37" i="5"/>
  <c r="F34" i="5"/>
  <c r="E14" i="3" s="1"/>
  <c r="F31" i="5"/>
  <c r="H31" i="5" s="1"/>
  <c r="F28" i="5"/>
  <c r="H28" i="5" s="1"/>
  <c r="I24" i="5"/>
  <c r="D24" i="5"/>
  <c r="C24" i="5"/>
  <c r="H23" i="5"/>
  <c r="F17" i="5"/>
  <c r="H17" i="5" s="1"/>
  <c r="H6" i="5"/>
  <c r="D407" i="4"/>
  <c r="C407" i="4"/>
  <c r="F406" i="4"/>
  <c r="D145" i="3" s="1"/>
  <c r="F402" i="4"/>
  <c r="H402" i="4" s="1"/>
  <c r="F399" i="4"/>
  <c r="D143" i="3" s="1"/>
  <c r="F396" i="4"/>
  <c r="D142" i="3" s="1"/>
  <c r="I384" i="4"/>
  <c r="I407" i="4" s="1"/>
  <c r="I408" i="4" s="1"/>
  <c r="F384" i="4"/>
  <c r="H384" i="4" s="1"/>
  <c r="D378" i="4"/>
  <c r="C378" i="4"/>
  <c r="F377" i="4"/>
  <c r="H377" i="4" s="1"/>
  <c r="F363" i="4"/>
  <c r="F358" i="4"/>
  <c r="F353" i="4"/>
  <c r="D348" i="4"/>
  <c r="C348" i="4"/>
  <c r="F347" i="4"/>
  <c r="H347" i="4" s="1"/>
  <c r="F342" i="4"/>
  <c r="F334" i="4"/>
  <c r="F333" i="4"/>
  <c r="F331" i="4"/>
  <c r="H331" i="4" s="1"/>
  <c r="F326" i="4"/>
  <c r="F320" i="4"/>
  <c r="D320" i="4"/>
  <c r="C320" i="4"/>
  <c r="D315" i="4"/>
  <c r="C315" i="4"/>
  <c r="I310" i="4"/>
  <c r="D310" i="4"/>
  <c r="C310" i="4"/>
  <c r="F309" i="4"/>
  <c r="D303" i="4"/>
  <c r="C303" i="4"/>
  <c r="F302" i="4"/>
  <c r="D115" i="3" s="1"/>
  <c r="F295" i="4"/>
  <c r="H295" i="4" s="1"/>
  <c r="F290" i="4"/>
  <c r="H290" i="4" s="1"/>
  <c r="D282" i="4"/>
  <c r="C282" i="4"/>
  <c r="F281" i="4"/>
  <c r="D106" i="3" s="1"/>
  <c r="F278" i="4"/>
  <c r="D105" i="3" s="1"/>
  <c r="F273" i="4"/>
  <c r="D104" i="3" s="1"/>
  <c r="F269" i="4"/>
  <c r="H269" i="4" s="1"/>
  <c r="D264" i="4"/>
  <c r="C264" i="4"/>
  <c r="F263" i="4"/>
  <c r="H263" i="4" s="1"/>
  <c r="F258" i="4"/>
  <c r="H258" i="4" s="1"/>
  <c r="D251" i="4"/>
  <c r="C251" i="4"/>
  <c r="F250" i="4"/>
  <c r="D96" i="3" s="1"/>
  <c r="F244" i="4"/>
  <c r="D95" i="3" s="1"/>
  <c r="F237" i="4"/>
  <c r="D94" i="3" s="1"/>
  <c r="F232" i="4"/>
  <c r="H232" i="4" s="1"/>
  <c r="F223" i="4"/>
  <c r="D88" i="3" s="1"/>
  <c r="D223" i="4"/>
  <c r="C223" i="4"/>
  <c r="F220" i="4"/>
  <c r="D220" i="4"/>
  <c r="C220" i="4"/>
  <c r="D216" i="4"/>
  <c r="C216" i="4"/>
  <c r="F215" i="4"/>
  <c r="D81" i="3" s="1"/>
  <c r="F212" i="4"/>
  <c r="D208" i="4"/>
  <c r="C208" i="4"/>
  <c r="F207" i="4"/>
  <c r="F208" i="4" s="1"/>
  <c r="I203" i="4"/>
  <c r="D203" i="4"/>
  <c r="C203" i="4"/>
  <c r="F202" i="4"/>
  <c r="H202" i="4" s="1"/>
  <c r="F196" i="4"/>
  <c r="D73" i="3" s="1"/>
  <c r="D191" i="4"/>
  <c r="C191" i="4"/>
  <c r="F190" i="4"/>
  <c r="F184" i="4"/>
  <c r="D176" i="4"/>
  <c r="C176" i="4"/>
  <c r="F175" i="4"/>
  <c r="H175" i="4" s="1"/>
  <c r="F170" i="4"/>
  <c r="D164" i="4"/>
  <c r="C164" i="4"/>
  <c r="F163" i="4"/>
  <c r="H163" i="4" s="1"/>
  <c r="F160" i="4"/>
  <c r="H160" i="4" s="1"/>
  <c r="F156" i="4"/>
  <c r="H156" i="4" s="1"/>
  <c r="F152" i="4"/>
  <c r="H152" i="4" s="1"/>
  <c r="D147" i="4"/>
  <c r="C147" i="4"/>
  <c r="F146" i="4"/>
  <c r="H146" i="4" s="1"/>
  <c r="F143" i="4"/>
  <c r="H143" i="4" s="1"/>
  <c r="F139" i="4"/>
  <c r="F135" i="4"/>
  <c r="D130" i="4"/>
  <c r="C130" i="4"/>
  <c r="F129" i="4"/>
  <c r="H129" i="4" s="1"/>
  <c r="F124" i="4"/>
  <c r="F120" i="4"/>
  <c r="F116" i="4"/>
  <c r="H116" i="4" s="1"/>
  <c r="D111" i="4"/>
  <c r="C111" i="4"/>
  <c r="F110" i="4"/>
  <c r="H110" i="4" s="1"/>
  <c r="I106" i="4"/>
  <c r="F106" i="4"/>
  <c r="H106" i="4" s="1"/>
  <c r="I102" i="4"/>
  <c r="F102" i="4"/>
  <c r="D42" i="3" s="1"/>
  <c r="I98" i="4"/>
  <c r="F98" i="4"/>
  <c r="H98" i="4" s="1"/>
  <c r="D93" i="4"/>
  <c r="C93" i="4"/>
  <c r="I92" i="4"/>
  <c r="F92" i="4"/>
  <c r="D38" i="3" s="1"/>
  <c r="I88" i="4"/>
  <c r="F88" i="4"/>
  <c r="H88" i="4" s="1"/>
  <c r="I84" i="4"/>
  <c r="F84" i="4"/>
  <c r="H84" i="4" s="1"/>
  <c r="I80" i="4"/>
  <c r="F80" i="4"/>
  <c r="D35" i="3" s="1"/>
  <c r="H73" i="4"/>
  <c r="C73" i="4"/>
  <c r="D67" i="4"/>
  <c r="C67" i="4"/>
  <c r="I66" i="4"/>
  <c r="I67" i="4" s="1"/>
  <c r="F66" i="4"/>
  <c r="D24" i="3" s="1"/>
  <c r="D25" i="3" s="1"/>
  <c r="D62" i="4"/>
  <c r="C62" i="4"/>
  <c r="I61" i="4"/>
  <c r="F61" i="4"/>
  <c r="D21" i="3" s="1"/>
  <c r="I57" i="4"/>
  <c r="F57" i="4"/>
  <c r="H57" i="4" s="1"/>
  <c r="I53" i="4"/>
  <c r="F53" i="4"/>
  <c r="H53" i="4" s="1"/>
  <c r="I49" i="4"/>
  <c r="F49" i="4"/>
  <c r="H49" i="4" s="1"/>
  <c r="D44" i="4"/>
  <c r="C44" i="4"/>
  <c r="I43" i="4"/>
  <c r="F43" i="4"/>
  <c r="D15" i="3" s="1"/>
  <c r="I39" i="4"/>
  <c r="F39" i="4"/>
  <c r="H39" i="4" s="1"/>
  <c r="I35" i="4"/>
  <c r="F35" i="4"/>
  <c r="H35" i="4" s="1"/>
  <c r="I30" i="4"/>
  <c r="F30" i="4"/>
  <c r="H30" i="4" s="1"/>
  <c r="D24" i="4"/>
  <c r="C24" i="4"/>
  <c r="I23" i="4"/>
  <c r="I24" i="4" s="1"/>
  <c r="F23" i="4"/>
  <c r="D9" i="3" s="1"/>
  <c r="I17" i="4"/>
  <c r="F17" i="4"/>
  <c r="H17" i="4" s="1"/>
  <c r="D9" i="4"/>
  <c r="D12" i="4" s="1"/>
  <c r="L146" i="3"/>
  <c r="C146" i="3"/>
  <c r="G145" i="3"/>
  <c r="G144" i="3"/>
  <c r="G143" i="3"/>
  <c r="G142" i="3"/>
  <c r="D141" i="3"/>
  <c r="L139" i="3"/>
  <c r="C139" i="3"/>
  <c r="L133" i="3"/>
  <c r="C133" i="3"/>
  <c r="E132" i="3"/>
  <c r="G130" i="3"/>
  <c r="G129" i="3"/>
  <c r="L126" i="3"/>
  <c r="K126" i="3"/>
  <c r="J126" i="3"/>
  <c r="C126" i="3"/>
  <c r="G125" i="3"/>
  <c r="G126" i="3" s="1"/>
  <c r="F125" i="3"/>
  <c r="F126" i="3" s="1"/>
  <c r="E125" i="3"/>
  <c r="E126" i="3" s="1"/>
  <c r="D125" i="3"/>
  <c r="D126" i="3" s="1"/>
  <c r="L121" i="3"/>
  <c r="C121" i="3"/>
  <c r="F120" i="3"/>
  <c r="F121" i="3" s="1"/>
  <c r="E120" i="3"/>
  <c r="E121" i="3" s="1"/>
  <c r="D120" i="3"/>
  <c r="L119" i="3"/>
  <c r="C119" i="3"/>
  <c r="L116" i="3"/>
  <c r="C116" i="3"/>
  <c r="G115" i="3"/>
  <c r="G114" i="3"/>
  <c r="F114" i="3"/>
  <c r="E114" i="3"/>
  <c r="D114" i="3"/>
  <c r="L107" i="3"/>
  <c r="C107" i="3"/>
  <c r="L101" i="3"/>
  <c r="C101" i="3"/>
  <c r="D100" i="3"/>
  <c r="L97" i="3"/>
  <c r="C97" i="3"/>
  <c r="G95" i="3"/>
  <c r="L89" i="3"/>
  <c r="J89" i="3"/>
  <c r="I89" i="3"/>
  <c r="C89" i="3"/>
  <c r="G88" i="3"/>
  <c r="G89" i="3" s="1"/>
  <c r="L86" i="3"/>
  <c r="J86" i="3"/>
  <c r="I86" i="3"/>
  <c r="C86" i="3"/>
  <c r="D85" i="3"/>
  <c r="D84" i="3"/>
  <c r="L82" i="3"/>
  <c r="C82" i="3"/>
  <c r="L78" i="3"/>
  <c r="C78" i="3"/>
  <c r="L75" i="3"/>
  <c r="C75" i="3"/>
  <c r="L71" i="3"/>
  <c r="C71" i="3"/>
  <c r="L67" i="3"/>
  <c r="C67" i="3"/>
  <c r="L63" i="3"/>
  <c r="C63" i="3"/>
  <c r="G61" i="3"/>
  <c r="D60" i="3"/>
  <c r="L57" i="3"/>
  <c r="C57" i="3"/>
  <c r="L51" i="3"/>
  <c r="C51" i="3"/>
  <c r="G48" i="3"/>
  <c r="L45" i="3"/>
  <c r="C45" i="3"/>
  <c r="D41" i="3"/>
  <c r="L39" i="3"/>
  <c r="C39" i="3"/>
  <c r="L31" i="3"/>
  <c r="C31" i="3"/>
  <c r="D30" i="3"/>
  <c r="D29" i="3"/>
  <c r="D28" i="3"/>
  <c r="D27" i="3"/>
  <c r="L25" i="3"/>
  <c r="C25" i="3"/>
  <c r="L22" i="3"/>
  <c r="C22" i="3"/>
  <c r="L16" i="3"/>
  <c r="C16" i="3"/>
  <c r="G13" i="3"/>
  <c r="C10" i="3"/>
  <c r="J22" i="2"/>
  <c r="K20" i="2"/>
  <c r="K19" i="2"/>
  <c r="D18" i="2"/>
  <c r="K17" i="2"/>
  <c r="K16" i="2"/>
  <c r="K15" i="2"/>
  <c r="K14" i="2"/>
  <c r="K12" i="2"/>
  <c r="K10" i="2"/>
  <c r="AM159" i="1"/>
  <c r="AK159" i="1"/>
  <c r="AH159" i="1"/>
  <c r="AJ159" i="1" s="1"/>
  <c r="Y159" i="1"/>
  <c r="W159" i="1"/>
  <c r="AL159" i="1" s="1"/>
  <c r="AN159" i="1" s="1"/>
  <c r="H159" i="1"/>
  <c r="AU158" i="1"/>
  <c r="AT158" i="1"/>
  <c r="AS158" i="1"/>
  <c r="AR158" i="1"/>
  <c r="AO158" i="1"/>
  <c r="AI158" i="1"/>
  <c r="AF158" i="1"/>
  <c r="AD158" i="1"/>
  <c r="AA158" i="1"/>
  <c r="X158" i="1"/>
  <c r="U158" i="1"/>
  <c r="L158" i="1"/>
  <c r="G158" i="1"/>
  <c r="D158" i="1"/>
  <c r="AV157" i="1"/>
  <c r="AC157" i="1"/>
  <c r="AE157" i="1" s="1"/>
  <c r="S157" i="1"/>
  <c r="M157" i="1"/>
  <c r="K157" i="1"/>
  <c r="AV156" i="1"/>
  <c r="AC156" i="1"/>
  <c r="AE156" i="1" s="1"/>
  <c r="K156" i="1"/>
  <c r="AV155" i="1"/>
  <c r="AM155" i="1"/>
  <c r="AK155" i="1"/>
  <c r="AH155" i="1"/>
  <c r="AJ155" i="1" s="1"/>
  <c r="AC155" i="1"/>
  <c r="AE155" i="1" s="1"/>
  <c r="W155" i="1"/>
  <c r="Y155" i="1" s="1"/>
  <c r="K155" i="1"/>
  <c r="O155" i="1" s="1"/>
  <c r="S155" i="1" s="1"/>
  <c r="F155" i="1"/>
  <c r="H155" i="1" s="1"/>
  <c r="AV154" i="1"/>
  <c r="AM154" i="1"/>
  <c r="AK154" i="1"/>
  <c r="AH154" i="1"/>
  <c r="AJ154" i="1" s="1"/>
  <c r="AC154" i="1"/>
  <c r="AE154" i="1" s="1"/>
  <c r="W154" i="1"/>
  <c r="Y154" i="1" s="1"/>
  <c r="K154" i="1"/>
  <c r="R154" i="1" s="1"/>
  <c r="S154" i="1" s="1"/>
  <c r="F154" i="1"/>
  <c r="AV153" i="1"/>
  <c r="AM153" i="1"/>
  <c r="AK153" i="1"/>
  <c r="AH153" i="1"/>
  <c r="AJ153" i="1" s="1"/>
  <c r="AC153" i="1"/>
  <c r="AE153" i="1" s="1"/>
  <c r="W153" i="1"/>
  <c r="Y153" i="1" s="1"/>
  <c r="S153" i="1"/>
  <c r="K153" i="1"/>
  <c r="M153" i="1" s="1"/>
  <c r="F153" i="1"/>
  <c r="H153" i="1" s="1"/>
  <c r="AV152" i="1"/>
  <c r="AM152" i="1"/>
  <c r="AK152" i="1"/>
  <c r="AH152" i="1"/>
  <c r="AJ152" i="1" s="1"/>
  <c r="AC152" i="1"/>
  <c r="AE152" i="1" s="1"/>
  <c r="W152" i="1"/>
  <c r="Y152" i="1" s="1"/>
  <c r="R152" i="1"/>
  <c r="Q152" i="1"/>
  <c r="P152" i="1"/>
  <c r="O152" i="1"/>
  <c r="K152" i="1"/>
  <c r="F152" i="1"/>
  <c r="H152" i="1" s="1"/>
  <c r="AV151" i="1"/>
  <c r="AQ151" i="1"/>
  <c r="AM151" i="1"/>
  <c r="AK151" i="1"/>
  <c r="AH151" i="1"/>
  <c r="AJ151" i="1" s="1"/>
  <c r="AC151" i="1"/>
  <c r="W151" i="1"/>
  <c r="Y151" i="1" s="1"/>
  <c r="R151" i="1"/>
  <c r="Q151" i="1"/>
  <c r="P151" i="1"/>
  <c r="O151" i="1"/>
  <c r="K151" i="1"/>
  <c r="M151" i="1" s="1"/>
  <c r="F151" i="1"/>
  <c r="AU149" i="1"/>
  <c r="AT149" i="1"/>
  <c r="AS149" i="1"/>
  <c r="AR149" i="1"/>
  <c r="AO149" i="1"/>
  <c r="AI149" i="1"/>
  <c r="AF149" i="1"/>
  <c r="AD149" i="1"/>
  <c r="AA149" i="1"/>
  <c r="X149" i="1"/>
  <c r="U149" i="1"/>
  <c r="L149" i="1"/>
  <c r="G149" i="1"/>
  <c r="D149" i="1"/>
  <c r="AV148" i="1"/>
  <c r="AQ148" i="1"/>
  <c r="AM148" i="1"/>
  <c r="AK148" i="1"/>
  <c r="AH148" i="1"/>
  <c r="AC148" i="1"/>
  <c r="AE148" i="1" s="1"/>
  <c r="W148" i="1"/>
  <c r="R148" i="1"/>
  <c r="Q148" i="1"/>
  <c r="P148" i="1"/>
  <c r="O148" i="1"/>
  <c r="O149" i="1" s="1"/>
  <c r="J148" i="1"/>
  <c r="K148" i="1" s="1"/>
  <c r="M148" i="1" s="1"/>
  <c r="F148" i="1"/>
  <c r="AV147" i="1"/>
  <c r="AM147" i="1"/>
  <c r="AK147" i="1"/>
  <c r="AH147" i="1"/>
  <c r="AJ147" i="1" s="1"/>
  <c r="AC147" i="1"/>
  <c r="AE147" i="1" s="1"/>
  <c r="W147" i="1"/>
  <c r="Y147" i="1" s="1"/>
  <c r="R147" i="1"/>
  <c r="Q147" i="1"/>
  <c r="P147" i="1"/>
  <c r="J147" i="1"/>
  <c r="K147" i="1" s="1"/>
  <c r="M147" i="1" s="1"/>
  <c r="F147" i="1"/>
  <c r="H147" i="1" s="1"/>
  <c r="AV146" i="1"/>
  <c r="AM146" i="1"/>
  <c r="AK146" i="1"/>
  <c r="AH146" i="1"/>
  <c r="AJ146" i="1" s="1"/>
  <c r="AC146" i="1"/>
  <c r="AE146" i="1" s="1"/>
  <c r="W146" i="1"/>
  <c r="Y146" i="1" s="1"/>
  <c r="R146" i="1"/>
  <c r="Q146" i="1"/>
  <c r="P146" i="1"/>
  <c r="J146" i="1"/>
  <c r="K146" i="1" s="1"/>
  <c r="M146" i="1" s="1"/>
  <c r="F146" i="1"/>
  <c r="H146" i="1" s="1"/>
  <c r="AV145" i="1"/>
  <c r="AM145" i="1"/>
  <c r="AK145" i="1"/>
  <c r="AH145" i="1"/>
  <c r="AJ145" i="1" s="1"/>
  <c r="AC145" i="1"/>
  <c r="AE145" i="1" s="1"/>
  <c r="W145" i="1"/>
  <c r="Y145" i="1" s="1"/>
  <c r="Q145" i="1"/>
  <c r="P145" i="1"/>
  <c r="S145" i="1" s="1"/>
  <c r="J145" i="1"/>
  <c r="K145" i="1" s="1"/>
  <c r="F145" i="1"/>
  <c r="H145" i="1" s="1"/>
  <c r="AU143" i="1"/>
  <c r="AT143" i="1"/>
  <c r="AS143" i="1"/>
  <c r="AR143" i="1"/>
  <c r="AO143" i="1"/>
  <c r="AI143" i="1"/>
  <c r="AG143" i="1"/>
  <c r="AF143" i="1"/>
  <c r="AD143" i="1"/>
  <c r="X143" i="1"/>
  <c r="U143" i="1"/>
  <c r="L143" i="1"/>
  <c r="G143" i="1"/>
  <c r="D143" i="1"/>
  <c r="AV142" i="1"/>
  <c r="AC142" i="1"/>
  <c r="AE142" i="1" s="1"/>
  <c r="AV141" i="1"/>
  <c r="AC141" i="1"/>
  <c r="AE141" i="1" s="1"/>
  <c r="R141" i="1"/>
  <c r="Q141" i="1"/>
  <c r="S141" i="1" s="1"/>
  <c r="P141" i="1"/>
  <c r="J141" i="1"/>
  <c r="K141" i="1" s="1"/>
  <c r="M141" i="1" s="1"/>
  <c r="AV140" i="1"/>
  <c r="AM140" i="1"/>
  <c r="AK140" i="1"/>
  <c r="AH140" i="1"/>
  <c r="AJ140" i="1" s="1"/>
  <c r="AA140" i="1"/>
  <c r="W140" i="1"/>
  <c r="Y140" i="1" s="1"/>
  <c r="R140" i="1"/>
  <c r="Q140" i="1"/>
  <c r="P140" i="1"/>
  <c r="O140" i="1"/>
  <c r="O143" i="1" s="1"/>
  <c r="J140" i="1"/>
  <c r="K140" i="1" s="1"/>
  <c r="M140" i="1" s="1"/>
  <c r="F140" i="1"/>
  <c r="AV139" i="1"/>
  <c r="AM139" i="1"/>
  <c r="AK139" i="1"/>
  <c r="AH139" i="1"/>
  <c r="AJ139" i="1" s="1"/>
  <c r="AC139" i="1"/>
  <c r="AE139" i="1" s="1"/>
  <c r="Y139" i="1"/>
  <c r="W139" i="1"/>
  <c r="R139" i="1"/>
  <c r="Q139" i="1"/>
  <c r="P139" i="1"/>
  <c r="J139" i="1"/>
  <c r="K139" i="1" s="1"/>
  <c r="M139" i="1" s="1"/>
  <c r="F139" i="1"/>
  <c r="H139" i="1" s="1"/>
  <c r="AV138" i="1"/>
  <c r="AM138" i="1"/>
  <c r="AK138" i="1"/>
  <c r="AH138" i="1"/>
  <c r="AH143" i="1" s="1"/>
  <c r="AC138" i="1"/>
  <c r="AE138" i="1" s="1"/>
  <c r="Y138" i="1"/>
  <c r="W138" i="1"/>
  <c r="R138" i="1"/>
  <c r="Q138" i="1"/>
  <c r="P138" i="1"/>
  <c r="S138" i="1" s="1"/>
  <c r="J138" i="1"/>
  <c r="K138" i="1" s="1"/>
  <c r="M138" i="1" s="1"/>
  <c r="F138" i="1"/>
  <c r="AO136" i="1"/>
  <c r="AM136" i="1"/>
  <c r="AI136" i="1"/>
  <c r="AG136" i="1"/>
  <c r="AF136" i="1"/>
  <c r="X136" i="1"/>
  <c r="V136" i="1"/>
  <c r="U136" i="1"/>
  <c r="R136" i="1"/>
  <c r="Q136" i="1"/>
  <c r="P136" i="1"/>
  <c r="O136" i="1"/>
  <c r="L136" i="1"/>
  <c r="G136" i="1"/>
  <c r="E136" i="1"/>
  <c r="D136" i="1"/>
  <c r="AV135" i="1"/>
  <c r="AK135" i="1"/>
  <c r="AH135" i="1"/>
  <c r="AJ135" i="1" s="1"/>
  <c r="AJ136" i="1" s="1"/>
  <c r="W135" i="1"/>
  <c r="S135" i="1"/>
  <c r="K135" i="1"/>
  <c r="K136" i="1" s="1"/>
  <c r="F135" i="1"/>
  <c r="AA132" i="1"/>
  <c r="AU131" i="1"/>
  <c r="AT131" i="1"/>
  <c r="AS131" i="1"/>
  <c r="AR131" i="1"/>
  <c r="AV130" i="1"/>
  <c r="AC130" i="1"/>
  <c r="AC131" i="1" s="1"/>
  <c r="AE131" i="1" s="1"/>
  <c r="AU129" i="1"/>
  <c r="AT129" i="1"/>
  <c r="AS129" i="1"/>
  <c r="AR129" i="1"/>
  <c r="AO129" i="1"/>
  <c r="AI129" i="1"/>
  <c r="AG129" i="1"/>
  <c r="AF129" i="1"/>
  <c r="AD129" i="1"/>
  <c r="AB129" i="1"/>
  <c r="X129" i="1"/>
  <c r="V129" i="1"/>
  <c r="U129" i="1"/>
  <c r="R129" i="1"/>
  <c r="Q129" i="1"/>
  <c r="L129" i="1"/>
  <c r="G129" i="1"/>
  <c r="E129" i="1"/>
  <c r="D129" i="1"/>
  <c r="AV128" i="1"/>
  <c r="AM128" i="1"/>
  <c r="AM129" i="1" s="1"/>
  <c r="AK128" i="1"/>
  <c r="AH128" i="1"/>
  <c r="AH129" i="1" s="1"/>
  <c r="AC128" i="1"/>
  <c r="AC129" i="1" s="1"/>
  <c r="W128" i="1"/>
  <c r="W129" i="1" s="1"/>
  <c r="P128" i="1"/>
  <c r="P129" i="1" s="1"/>
  <c r="O128" i="1"/>
  <c r="M128" i="1"/>
  <c r="M129" i="1" s="1"/>
  <c r="K128" i="1"/>
  <c r="K129" i="1" s="1"/>
  <c r="F128" i="1"/>
  <c r="AU126" i="1"/>
  <c r="AT126" i="1"/>
  <c r="AS126" i="1"/>
  <c r="AR126" i="1"/>
  <c r="AO126" i="1"/>
  <c r="AO132" i="1" s="1"/>
  <c r="AK126" i="1"/>
  <c r="AI126" i="1"/>
  <c r="AF126" i="1"/>
  <c r="AD126" i="1"/>
  <c r="X126" i="1"/>
  <c r="U126" i="1"/>
  <c r="R126" i="1"/>
  <c r="R132" i="1" s="1"/>
  <c r="Q126" i="1"/>
  <c r="Q132" i="1" s="1"/>
  <c r="P126" i="1"/>
  <c r="L126" i="1"/>
  <c r="G126" i="1"/>
  <c r="G132" i="1" s="1"/>
  <c r="D126" i="1"/>
  <c r="D132" i="1" s="1"/>
  <c r="AV125" i="1"/>
  <c r="AM125" i="1"/>
  <c r="AK125" i="1"/>
  <c r="AH125" i="1"/>
  <c r="AJ125" i="1" s="1"/>
  <c r="AE125" i="1"/>
  <c r="AC125" i="1"/>
  <c r="W125" i="1"/>
  <c r="Y125" i="1" s="1"/>
  <c r="S125" i="1"/>
  <c r="M125" i="1"/>
  <c r="F125" i="1"/>
  <c r="H125" i="1" s="1"/>
  <c r="AV124" i="1"/>
  <c r="AM124" i="1"/>
  <c r="AK124" i="1"/>
  <c r="AH124" i="1"/>
  <c r="AJ124" i="1" s="1"/>
  <c r="AC124" i="1"/>
  <c r="AE124" i="1" s="1"/>
  <c r="W124" i="1"/>
  <c r="Y124" i="1" s="1"/>
  <c r="S124" i="1"/>
  <c r="K124" i="1"/>
  <c r="M124" i="1" s="1"/>
  <c r="F124" i="1"/>
  <c r="AV122" i="1"/>
  <c r="AM122" i="1"/>
  <c r="AK122" i="1"/>
  <c r="AJ122" i="1"/>
  <c r="AH122" i="1"/>
  <c r="AC122" i="1"/>
  <c r="AE122" i="1" s="1"/>
  <c r="W122" i="1"/>
  <c r="Y122" i="1" s="1"/>
  <c r="J122" i="1"/>
  <c r="K122" i="1" s="1"/>
  <c r="M122" i="1" s="1"/>
  <c r="F122" i="1"/>
  <c r="H122" i="1" s="1"/>
  <c r="AV121" i="1"/>
  <c r="AM121" i="1"/>
  <c r="AK121" i="1"/>
  <c r="AH121" i="1"/>
  <c r="AJ121" i="1" s="1"/>
  <c r="AC121" i="1"/>
  <c r="AE121" i="1" s="1"/>
  <c r="W121" i="1"/>
  <c r="K121" i="1"/>
  <c r="O121" i="1" s="1"/>
  <c r="F121" i="1"/>
  <c r="H121" i="1" s="1"/>
  <c r="AQ118" i="1"/>
  <c r="AA118" i="1"/>
  <c r="AU117" i="1"/>
  <c r="AT117" i="1"/>
  <c r="AS117" i="1"/>
  <c r="AR117" i="1"/>
  <c r="AO117" i="1"/>
  <c r="AK117" i="1"/>
  <c r="AI117" i="1"/>
  <c r="AF117" i="1"/>
  <c r="AD117" i="1"/>
  <c r="X117" i="1"/>
  <c r="U117" i="1"/>
  <c r="R117" i="1"/>
  <c r="Q117" i="1"/>
  <c r="O117" i="1"/>
  <c r="L117" i="1"/>
  <c r="G117" i="1"/>
  <c r="D117" i="1"/>
  <c r="AV116" i="1"/>
  <c r="AM116" i="1"/>
  <c r="AK116" i="1"/>
  <c r="AH116" i="1"/>
  <c r="AJ116" i="1" s="1"/>
  <c r="AC116" i="1"/>
  <c r="AE116" i="1" s="1"/>
  <c r="W116" i="1"/>
  <c r="K116" i="1"/>
  <c r="P116" i="1" s="1"/>
  <c r="S116" i="1" s="1"/>
  <c r="F116" i="1"/>
  <c r="H116" i="1" s="1"/>
  <c r="AV115" i="1"/>
  <c r="AQ115" i="1"/>
  <c r="AM115" i="1"/>
  <c r="AK115" i="1"/>
  <c r="AH115" i="1"/>
  <c r="AJ115" i="1" s="1"/>
  <c r="AC115" i="1"/>
  <c r="AE115" i="1" s="1"/>
  <c r="W115" i="1"/>
  <c r="K115" i="1"/>
  <c r="M115" i="1" s="1"/>
  <c r="F115" i="1"/>
  <c r="AV114" i="1"/>
  <c r="AM114" i="1"/>
  <c r="AK114" i="1"/>
  <c r="AH114" i="1"/>
  <c r="AJ114" i="1" s="1"/>
  <c r="AC114" i="1"/>
  <c r="AE114" i="1" s="1"/>
  <c r="W114" i="1"/>
  <c r="K114" i="1"/>
  <c r="F114" i="1"/>
  <c r="H114" i="1" s="1"/>
  <c r="AV113" i="1"/>
  <c r="AM113" i="1"/>
  <c r="AK113" i="1"/>
  <c r="AH113" i="1"/>
  <c r="AJ113" i="1" s="1"/>
  <c r="AC113" i="1"/>
  <c r="W113" i="1"/>
  <c r="Y113" i="1" s="1"/>
  <c r="K113" i="1"/>
  <c r="F113" i="1"/>
  <c r="H113" i="1" s="1"/>
  <c r="AU111" i="1"/>
  <c r="AT111" i="1"/>
  <c r="AS111" i="1"/>
  <c r="AR111" i="1"/>
  <c r="AO111" i="1"/>
  <c r="AK111" i="1"/>
  <c r="AI111" i="1"/>
  <c r="AF111" i="1"/>
  <c r="AD111" i="1"/>
  <c r="X111" i="1"/>
  <c r="U111" i="1"/>
  <c r="R111" i="1"/>
  <c r="P111" i="1"/>
  <c r="O111" i="1"/>
  <c r="L111" i="1"/>
  <c r="G111" i="1"/>
  <c r="D111" i="1"/>
  <c r="AV110" i="1"/>
  <c r="AM110" i="1"/>
  <c r="AK110" i="1"/>
  <c r="AH110" i="1"/>
  <c r="AJ110" i="1" s="1"/>
  <c r="AC110" i="1"/>
  <c r="AE110" i="1" s="1"/>
  <c r="W110" i="1"/>
  <c r="Y110" i="1" s="1"/>
  <c r="K110" i="1"/>
  <c r="Q110" i="1" s="1"/>
  <c r="S110" i="1" s="1"/>
  <c r="F110" i="1"/>
  <c r="AV109" i="1"/>
  <c r="AM109" i="1"/>
  <c r="AK109" i="1"/>
  <c r="AH109" i="1"/>
  <c r="AJ109" i="1" s="1"/>
  <c r="AC109" i="1"/>
  <c r="AE109" i="1" s="1"/>
  <c r="W109" i="1"/>
  <c r="J109" i="1"/>
  <c r="K109" i="1" s="1"/>
  <c r="K111" i="1" s="1"/>
  <c r="F109" i="1"/>
  <c r="F111" i="1" s="1"/>
  <c r="AU107" i="1"/>
  <c r="AT107" i="1"/>
  <c r="AS107" i="1"/>
  <c r="AS118" i="1" s="1"/>
  <c r="AR107" i="1"/>
  <c r="AO107" i="1"/>
  <c r="AK107" i="1"/>
  <c r="AI107" i="1"/>
  <c r="AF107" i="1"/>
  <c r="AD107" i="1"/>
  <c r="X107" i="1"/>
  <c r="U107" i="1"/>
  <c r="R107" i="1"/>
  <c r="P107" i="1"/>
  <c r="O107" i="1"/>
  <c r="L107" i="1"/>
  <c r="G107" i="1"/>
  <c r="D107" i="1"/>
  <c r="AV106" i="1"/>
  <c r="AM106" i="1"/>
  <c r="AK106" i="1"/>
  <c r="AH106" i="1"/>
  <c r="AJ106" i="1" s="1"/>
  <c r="AC106" i="1"/>
  <c r="AE106" i="1" s="1"/>
  <c r="W106" i="1"/>
  <c r="Y106" i="1" s="1"/>
  <c r="I106" i="1"/>
  <c r="K106" i="1" s="1"/>
  <c r="M106" i="1" s="1"/>
  <c r="F106" i="1"/>
  <c r="H106" i="1" s="1"/>
  <c r="AV105" i="1"/>
  <c r="AQ105" i="1"/>
  <c r="AM105" i="1"/>
  <c r="AK105" i="1"/>
  <c r="AH105" i="1"/>
  <c r="AJ105" i="1" s="1"/>
  <c r="AC105" i="1"/>
  <c r="AE105" i="1" s="1"/>
  <c r="W105" i="1"/>
  <c r="Y105" i="1" s="1"/>
  <c r="M105" i="1"/>
  <c r="K105" i="1"/>
  <c r="Q105" i="1" s="1"/>
  <c r="S105" i="1" s="1"/>
  <c r="F105" i="1"/>
  <c r="AV104" i="1"/>
  <c r="AM104" i="1"/>
  <c r="AK104" i="1"/>
  <c r="AH104" i="1"/>
  <c r="AC104" i="1"/>
  <c r="Y104" i="1"/>
  <c r="W104" i="1"/>
  <c r="I104" i="1"/>
  <c r="K104" i="1" s="1"/>
  <c r="M104" i="1" s="1"/>
  <c r="F104" i="1"/>
  <c r="H104" i="1" s="1"/>
  <c r="AV103" i="1"/>
  <c r="AM103" i="1"/>
  <c r="AK103" i="1"/>
  <c r="AH103" i="1"/>
  <c r="AC103" i="1"/>
  <c r="AE103" i="1" s="1"/>
  <c r="W103" i="1"/>
  <c r="K103" i="1"/>
  <c r="F103" i="1"/>
  <c r="AQ100" i="1"/>
  <c r="AU99" i="1"/>
  <c r="AT99" i="1"/>
  <c r="AS99" i="1"/>
  <c r="AR99" i="1"/>
  <c r="AO99" i="1"/>
  <c r="AI99" i="1"/>
  <c r="AG99" i="1"/>
  <c r="AF99" i="1"/>
  <c r="AE99" i="1"/>
  <c r="AD99" i="1"/>
  <c r="AC99" i="1"/>
  <c r="AB99" i="1"/>
  <c r="AA99" i="1"/>
  <c r="X99" i="1"/>
  <c r="V99" i="1"/>
  <c r="U99" i="1"/>
  <c r="R99" i="1"/>
  <c r="Q99" i="1"/>
  <c r="P99" i="1"/>
  <c r="O99" i="1"/>
  <c r="L99" i="1"/>
  <c r="K99" i="1"/>
  <c r="G99" i="1"/>
  <c r="E99" i="1"/>
  <c r="D99" i="1"/>
  <c r="AV98" i="1"/>
  <c r="AM98" i="1"/>
  <c r="AM99" i="1" s="1"/>
  <c r="AK98" i="1"/>
  <c r="AH98" i="1"/>
  <c r="AH99" i="1" s="1"/>
  <c r="W98" i="1"/>
  <c r="W99" i="1" s="1"/>
  <c r="S98" i="1"/>
  <c r="M98" i="1"/>
  <c r="M99" i="1" s="1"/>
  <c r="F98" i="1"/>
  <c r="F99" i="1" s="1"/>
  <c r="AU96" i="1"/>
  <c r="AT96" i="1"/>
  <c r="AS96" i="1"/>
  <c r="AR96" i="1"/>
  <c r="AO96" i="1"/>
  <c r="AI96" i="1"/>
  <c r="AG96" i="1"/>
  <c r="AF96" i="1"/>
  <c r="AE96" i="1"/>
  <c r="AD96" i="1"/>
  <c r="AC96" i="1"/>
  <c r="AA96" i="1"/>
  <c r="AA100" i="1" s="1"/>
  <c r="X96" i="1"/>
  <c r="U96" i="1"/>
  <c r="R96" i="1"/>
  <c r="Q96" i="1"/>
  <c r="P96" i="1"/>
  <c r="O96" i="1"/>
  <c r="L96" i="1"/>
  <c r="G96" i="1"/>
  <c r="E96" i="1"/>
  <c r="D96" i="1"/>
  <c r="AV95" i="1"/>
  <c r="AM95" i="1"/>
  <c r="AK95" i="1"/>
  <c r="AH95" i="1"/>
  <c r="AJ95" i="1" s="1"/>
  <c r="W95" i="1"/>
  <c r="S95" i="1"/>
  <c r="K95" i="1"/>
  <c r="M95" i="1" s="1"/>
  <c r="F95" i="1"/>
  <c r="H95" i="1" s="1"/>
  <c r="H96" i="1" s="1"/>
  <c r="AV94" i="1"/>
  <c r="AM94" i="1"/>
  <c r="AK94" i="1"/>
  <c r="AH94" i="1"/>
  <c r="W94" i="1"/>
  <c r="S94" i="1"/>
  <c r="K94" i="1"/>
  <c r="F94" i="1"/>
  <c r="AV92" i="1"/>
  <c r="AO92" i="1"/>
  <c r="AI92" i="1"/>
  <c r="AG92" i="1"/>
  <c r="AK92" i="1" s="1"/>
  <c r="AF92" i="1"/>
  <c r="X92" i="1"/>
  <c r="V92" i="1"/>
  <c r="U92" i="1"/>
  <c r="R92" i="1"/>
  <c r="P92" i="1"/>
  <c r="O92" i="1"/>
  <c r="L92" i="1"/>
  <c r="G92" i="1"/>
  <c r="D92" i="1"/>
  <c r="AV91" i="1"/>
  <c r="AM91" i="1"/>
  <c r="AK91" i="1"/>
  <c r="AH91" i="1"/>
  <c r="AJ91" i="1" s="1"/>
  <c r="W91" i="1"/>
  <c r="AL91" i="1" s="1"/>
  <c r="M91" i="1"/>
  <c r="Q91" i="1" s="1"/>
  <c r="S91" i="1" s="1"/>
  <c r="F91" i="1"/>
  <c r="H91" i="1" s="1"/>
  <c r="AV90" i="1"/>
  <c r="AM90" i="1"/>
  <c r="AM92" i="1" s="1"/>
  <c r="AK90" i="1"/>
  <c r="AH90" i="1"/>
  <c r="W90" i="1"/>
  <c r="K90" i="1"/>
  <c r="M90" i="1" s="1"/>
  <c r="M92" i="1" s="1"/>
  <c r="F90" i="1"/>
  <c r="AV88" i="1"/>
  <c r="AO88" i="1"/>
  <c r="AI88" i="1"/>
  <c r="AG88" i="1"/>
  <c r="AF88" i="1"/>
  <c r="X88" i="1"/>
  <c r="V88" i="1"/>
  <c r="U88" i="1"/>
  <c r="P88" i="1"/>
  <c r="O88" i="1"/>
  <c r="L88" i="1"/>
  <c r="G88" i="1"/>
  <c r="D88" i="1"/>
  <c r="AV87" i="1"/>
  <c r="AM87" i="1"/>
  <c r="AK87" i="1"/>
  <c r="AH87" i="1"/>
  <c r="AJ87" i="1" s="1"/>
  <c r="W87" i="1"/>
  <c r="Y87" i="1" s="1"/>
  <c r="S87" i="1"/>
  <c r="K87" i="1"/>
  <c r="K88" i="1" s="1"/>
  <c r="F87" i="1"/>
  <c r="AV86" i="1"/>
  <c r="AM86" i="1"/>
  <c r="AK86" i="1"/>
  <c r="AH86" i="1"/>
  <c r="AH88" i="1" s="1"/>
  <c r="W86" i="1"/>
  <c r="R86" i="1"/>
  <c r="R88" i="1" s="1"/>
  <c r="Q86" i="1"/>
  <c r="M86" i="1"/>
  <c r="F86" i="1"/>
  <c r="H86" i="1" s="1"/>
  <c r="AU84" i="1"/>
  <c r="AT84" i="1"/>
  <c r="AS84" i="1"/>
  <c r="AR84" i="1"/>
  <c r="AO84" i="1"/>
  <c r="AI84" i="1"/>
  <c r="AG84" i="1"/>
  <c r="AK84" i="1" s="1"/>
  <c r="AF84" i="1"/>
  <c r="AD84" i="1"/>
  <c r="X84" i="1"/>
  <c r="U84" i="1"/>
  <c r="R84" i="1"/>
  <c r="Q84" i="1"/>
  <c r="P84" i="1"/>
  <c r="L84" i="1"/>
  <c r="G84" i="1"/>
  <c r="D84" i="1"/>
  <c r="AV83" i="1"/>
  <c r="AM83" i="1"/>
  <c r="AK83" i="1"/>
  <c r="AH83" i="1"/>
  <c r="AJ83" i="1" s="1"/>
  <c r="AC83" i="1"/>
  <c r="AE83" i="1" s="1"/>
  <c r="W83" i="1"/>
  <c r="Y83" i="1" s="1"/>
  <c r="M83" i="1"/>
  <c r="F83" i="1"/>
  <c r="H83" i="1" s="1"/>
  <c r="AV82" i="1"/>
  <c r="AM82" i="1"/>
  <c r="AK82" i="1"/>
  <c r="AH82" i="1"/>
  <c r="AC82" i="1"/>
  <c r="AE82" i="1" s="1"/>
  <c r="W82" i="1"/>
  <c r="M82" i="1"/>
  <c r="O82" i="1" s="1"/>
  <c r="S82" i="1" s="1"/>
  <c r="F82" i="1"/>
  <c r="H82" i="1" s="1"/>
  <c r="H84" i="1" s="1"/>
  <c r="AV81" i="1"/>
  <c r="K81" i="1"/>
  <c r="M81" i="1" s="1"/>
  <c r="O81" i="1" s="1"/>
  <c r="S81" i="1" s="1"/>
  <c r="AV80" i="1"/>
  <c r="J80" i="1"/>
  <c r="K80" i="1" s="1"/>
  <c r="M80" i="1" s="1"/>
  <c r="O80" i="1" s="1"/>
  <c r="S80" i="1" s="1"/>
  <c r="AV79" i="1"/>
  <c r="K79" i="1"/>
  <c r="M79" i="1" s="1"/>
  <c r="O79" i="1" s="1"/>
  <c r="S79" i="1" s="1"/>
  <c r="AV78" i="1"/>
  <c r="K78" i="1"/>
  <c r="M78" i="1" s="1"/>
  <c r="O78" i="1" s="1"/>
  <c r="AV76" i="1"/>
  <c r="AO76" i="1"/>
  <c r="AI76" i="1"/>
  <c r="AG76" i="1"/>
  <c r="AK76" i="1" s="1"/>
  <c r="AF76" i="1"/>
  <c r="X76" i="1"/>
  <c r="U76" i="1"/>
  <c r="R76" i="1"/>
  <c r="Q76" i="1"/>
  <c r="P76" i="1"/>
  <c r="O76" i="1"/>
  <c r="L76" i="1"/>
  <c r="G76" i="1"/>
  <c r="D76" i="1"/>
  <c r="AV75" i="1"/>
  <c r="AM75" i="1"/>
  <c r="AK75" i="1"/>
  <c r="AH75" i="1"/>
  <c r="W75" i="1"/>
  <c r="Y75" i="1" s="1"/>
  <c r="S75" i="1"/>
  <c r="K75" i="1"/>
  <c r="M75" i="1" s="1"/>
  <c r="F75" i="1"/>
  <c r="AV74" i="1"/>
  <c r="AM74" i="1"/>
  <c r="AK74" i="1"/>
  <c r="AH74" i="1"/>
  <c r="AJ74" i="1" s="1"/>
  <c r="W74" i="1"/>
  <c r="S74" i="1"/>
  <c r="K74" i="1"/>
  <c r="F74" i="1"/>
  <c r="AV72" i="1"/>
  <c r="AO72" i="1"/>
  <c r="AI72" i="1"/>
  <c r="AG72" i="1"/>
  <c r="AK72" i="1" s="1"/>
  <c r="AF72" i="1"/>
  <c r="X72" i="1"/>
  <c r="V72" i="1"/>
  <c r="U72" i="1"/>
  <c r="R72" i="1"/>
  <c r="P72" i="1"/>
  <c r="O72" i="1"/>
  <c r="G72" i="1"/>
  <c r="D72" i="1"/>
  <c r="AV71" i="1"/>
  <c r="AM71" i="1"/>
  <c r="AK71" i="1"/>
  <c r="AH71" i="1"/>
  <c r="AJ71" i="1" s="1"/>
  <c r="W71" i="1"/>
  <c r="Y71" i="1" s="1"/>
  <c r="K71" i="1"/>
  <c r="M71" i="1" s="1"/>
  <c r="Q71" i="1" s="1"/>
  <c r="S71" i="1" s="1"/>
  <c r="F71" i="1"/>
  <c r="AV70" i="1"/>
  <c r="AM70" i="1"/>
  <c r="AK70" i="1"/>
  <c r="AH70" i="1"/>
  <c r="W70" i="1"/>
  <c r="L70" i="1"/>
  <c r="L72" i="1" s="1"/>
  <c r="K70" i="1"/>
  <c r="F70" i="1"/>
  <c r="F72" i="1" s="1"/>
  <c r="AU68" i="1"/>
  <c r="AT68" i="1"/>
  <c r="AS68" i="1"/>
  <c r="AR68" i="1"/>
  <c r="AO68" i="1"/>
  <c r="AK68" i="1"/>
  <c r="AI68" i="1"/>
  <c r="AF68" i="1"/>
  <c r="AD68" i="1"/>
  <c r="X68" i="1"/>
  <c r="U68" i="1"/>
  <c r="O68" i="1"/>
  <c r="L68" i="1"/>
  <c r="G68" i="1"/>
  <c r="D68" i="1"/>
  <c r="AV67" i="1"/>
  <c r="AM67" i="1"/>
  <c r="AK67" i="1"/>
  <c r="AH67" i="1"/>
  <c r="AJ67" i="1" s="1"/>
  <c r="AC67" i="1"/>
  <c r="AE67" i="1" s="1"/>
  <c r="W67" i="1"/>
  <c r="Y67" i="1" s="1"/>
  <c r="J67" i="1"/>
  <c r="K67" i="1" s="1"/>
  <c r="M67" i="1" s="1"/>
  <c r="R67" i="1" s="1"/>
  <c r="F67" i="1"/>
  <c r="AV66" i="1"/>
  <c r="AQ66" i="1"/>
  <c r="AM66" i="1"/>
  <c r="AK66" i="1"/>
  <c r="AH66" i="1"/>
  <c r="AC66" i="1"/>
  <c r="W66" i="1"/>
  <c r="W68" i="1" s="1"/>
  <c r="R66" i="1"/>
  <c r="Q66" i="1"/>
  <c r="P66" i="1"/>
  <c r="P68" i="1" s="1"/>
  <c r="K66" i="1"/>
  <c r="F66" i="1"/>
  <c r="AU64" i="1"/>
  <c r="AT64" i="1"/>
  <c r="AS64" i="1"/>
  <c r="AR64" i="1"/>
  <c r="AO64" i="1"/>
  <c r="AK64" i="1"/>
  <c r="AI64" i="1"/>
  <c r="AF64" i="1"/>
  <c r="AD64" i="1"/>
  <c r="X64" i="1"/>
  <c r="U64" i="1"/>
  <c r="Q64" i="1"/>
  <c r="O64" i="1"/>
  <c r="L64" i="1"/>
  <c r="G64" i="1"/>
  <c r="D64" i="1"/>
  <c r="AV63" i="1"/>
  <c r="AM63" i="1"/>
  <c r="AK63" i="1"/>
  <c r="AH63" i="1"/>
  <c r="AJ63" i="1" s="1"/>
  <c r="AC63" i="1"/>
  <c r="AE63" i="1" s="1"/>
  <c r="W63" i="1"/>
  <c r="Y63" i="1" s="1"/>
  <c r="M63" i="1"/>
  <c r="P63" i="1" s="1"/>
  <c r="I63" i="1"/>
  <c r="F63" i="1"/>
  <c r="AV62" i="1"/>
  <c r="AQ62" i="1"/>
  <c r="AM62" i="1"/>
  <c r="AK62" i="1"/>
  <c r="AH62" i="1"/>
  <c r="AJ62" i="1" s="1"/>
  <c r="AC62" i="1"/>
  <c r="AE62" i="1" s="1"/>
  <c r="W62" i="1"/>
  <c r="Y62" i="1" s="1"/>
  <c r="I62" i="1"/>
  <c r="K62" i="1" s="1"/>
  <c r="M62" i="1" s="1"/>
  <c r="F62" i="1"/>
  <c r="AV61" i="1"/>
  <c r="AM61" i="1"/>
  <c r="AK61" i="1"/>
  <c r="AH61" i="1"/>
  <c r="AJ61" i="1" s="1"/>
  <c r="AC61" i="1"/>
  <c r="AE61" i="1" s="1"/>
  <c r="W61" i="1"/>
  <c r="Y61" i="1" s="1"/>
  <c r="K61" i="1"/>
  <c r="M61" i="1" s="1"/>
  <c r="F61" i="1"/>
  <c r="AV60" i="1"/>
  <c r="AM60" i="1"/>
  <c r="AK60" i="1"/>
  <c r="AH60" i="1"/>
  <c r="AC60" i="1"/>
  <c r="AC64" i="1" s="1"/>
  <c r="W60" i="1"/>
  <c r="Y60" i="1" s="1"/>
  <c r="K60" i="1"/>
  <c r="M60" i="1" s="1"/>
  <c r="R60" i="1" s="1"/>
  <c r="F60" i="1"/>
  <c r="AU58" i="1"/>
  <c r="AT58" i="1"/>
  <c r="AS58" i="1"/>
  <c r="AR58" i="1"/>
  <c r="AO58" i="1"/>
  <c r="AK58" i="1"/>
  <c r="AI58" i="1"/>
  <c r="AF58" i="1"/>
  <c r="AD58" i="1"/>
  <c r="X58" i="1"/>
  <c r="U58" i="1"/>
  <c r="R58" i="1"/>
  <c r="Q58" i="1"/>
  <c r="O58" i="1"/>
  <c r="L58" i="1"/>
  <c r="G58" i="1"/>
  <c r="D58" i="1"/>
  <c r="AV57" i="1"/>
  <c r="AM57" i="1"/>
  <c r="AK57" i="1"/>
  <c r="AH57" i="1"/>
  <c r="AJ57" i="1" s="1"/>
  <c r="AC57" i="1"/>
  <c r="AE57" i="1" s="1"/>
  <c r="W57" i="1"/>
  <c r="Y57" i="1" s="1"/>
  <c r="K57" i="1"/>
  <c r="M57" i="1" s="1"/>
  <c r="P57" i="1" s="1"/>
  <c r="S57" i="1" s="1"/>
  <c r="F57" i="1"/>
  <c r="AV56" i="1"/>
  <c r="AQ56" i="1"/>
  <c r="AM56" i="1"/>
  <c r="AK56" i="1"/>
  <c r="AH56" i="1"/>
  <c r="AJ56" i="1" s="1"/>
  <c r="AC56" i="1"/>
  <c r="AE56" i="1" s="1"/>
  <c r="W56" i="1"/>
  <c r="Y56" i="1" s="1"/>
  <c r="K56" i="1"/>
  <c r="M56" i="1" s="1"/>
  <c r="P56" i="1" s="1"/>
  <c r="S56" i="1" s="1"/>
  <c r="F56" i="1"/>
  <c r="AV55" i="1"/>
  <c r="AM55" i="1"/>
  <c r="AK55" i="1"/>
  <c r="AH55" i="1"/>
  <c r="AJ55" i="1" s="1"/>
  <c r="AC55" i="1"/>
  <c r="AE55" i="1" s="1"/>
  <c r="W55" i="1"/>
  <c r="Y55" i="1" s="1"/>
  <c r="K55" i="1"/>
  <c r="M55" i="1" s="1"/>
  <c r="P55" i="1" s="1"/>
  <c r="S55" i="1" s="1"/>
  <c r="F55" i="1"/>
  <c r="H55" i="1" s="1"/>
  <c r="AV54" i="1"/>
  <c r="AM54" i="1"/>
  <c r="AK54" i="1"/>
  <c r="AH54" i="1"/>
  <c r="AC54" i="1"/>
  <c r="W54" i="1"/>
  <c r="Y54" i="1" s="1"/>
  <c r="K54" i="1"/>
  <c r="F54" i="1"/>
  <c r="AU52" i="1"/>
  <c r="AT52" i="1"/>
  <c r="AS52" i="1"/>
  <c r="AR52" i="1"/>
  <c r="AO52" i="1"/>
  <c r="AK52" i="1"/>
  <c r="AI52" i="1"/>
  <c r="AF52" i="1"/>
  <c r="AD52" i="1"/>
  <c r="X52" i="1"/>
  <c r="U52" i="1"/>
  <c r="R52" i="1"/>
  <c r="Q52" i="1"/>
  <c r="O52" i="1"/>
  <c r="L52" i="1"/>
  <c r="G52" i="1"/>
  <c r="D52" i="1"/>
  <c r="AV51" i="1"/>
  <c r="AM51" i="1"/>
  <c r="AK51" i="1"/>
  <c r="AH51" i="1"/>
  <c r="AJ51" i="1" s="1"/>
  <c r="AC51" i="1"/>
  <c r="AE51" i="1" s="1"/>
  <c r="W51" i="1"/>
  <c r="Y51" i="1" s="1"/>
  <c r="K51" i="1"/>
  <c r="M51" i="1" s="1"/>
  <c r="P51" i="1" s="1"/>
  <c r="S51" i="1" s="1"/>
  <c r="F51" i="1"/>
  <c r="AV50" i="1"/>
  <c r="AQ50" i="1"/>
  <c r="AM50" i="1"/>
  <c r="AK50" i="1"/>
  <c r="AH50" i="1"/>
  <c r="AJ50" i="1" s="1"/>
  <c r="AC50" i="1"/>
  <c r="AE50" i="1" s="1"/>
  <c r="W50" i="1"/>
  <c r="Y50" i="1" s="1"/>
  <c r="K50" i="1"/>
  <c r="M50" i="1" s="1"/>
  <c r="P50" i="1" s="1"/>
  <c r="S50" i="1" s="1"/>
  <c r="F50" i="1"/>
  <c r="H50" i="1" s="1"/>
  <c r="AV49" i="1"/>
  <c r="AM49" i="1"/>
  <c r="AK49" i="1"/>
  <c r="AH49" i="1"/>
  <c r="AJ49" i="1" s="1"/>
  <c r="AC49" i="1"/>
  <c r="AE49" i="1" s="1"/>
  <c r="W49" i="1"/>
  <c r="Y49" i="1" s="1"/>
  <c r="I49" i="1"/>
  <c r="K49" i="1" s="1"/>
  <c r="M49" i="1" s="1"/>
  <c r="P49" i="1" s="1"/>
  <c r="S49" i="1" s="1"/>
  <c r="F49" i="1"/>
  <c r="AV48" i="1"/>
  <c r="AM48" i="1"/>
  <c r="AK48" i="1"/>
  <c r="AH48" i="1"/>
  <c r="AJ48" i="1" s="1"/>
  <c r="AC48" i="1"/>
  <c r="AE48" i="1" s="1"/>
  <c r="W48" i="1"/>
  <c r="K48" i="1"/>
  <c r="M48" i="1" s="1"/>
  <c r="F48" i="1"/>
  <c r="AU46" i="1"/>
  <c r="AT46" i="1"/>
  <c r="AS46" i="1"/>
  <c r="AR46" i="1"/>
  <c r="AO46" i="1"/>
  <c r="AI46" i="1"/>
  <c r="AG46" i="1"/>
  <c r="AF46" i="1"/>
  <c r="AD46" i="1"/>
  <c r="X46" i="1"/>
  <c r="U46" i="1"/>
  <c r="R46" i="1"/>
  <c r="P46" i="1"/>
  <c r="O46" i="1"/>
  <c r="L46" i="1"/>
  <c r="G46" i="1"/>
  <c r="D46" i="1"/>
  <c r="AV45" i="1"/>
  <c r="AM45" i="1"/>
  <c r="AK45" i="1"/>
  <c r="AH45" i="1"/>
  <c r="AJ45" i="1" s="1"/>
  <c r="AC45" i="1"/>
  <c r="AE45" i="1" s="1"/>
  <c r="W45" i="1"/>
  <c r="Y45" i="1" s="1"/>
  <c r="K45" i="1"/>
  <c r="M45" i="1" s="1"/>
  <c r="Q45" i="1" s="1"/>
  <c r="S45" i="1" s="1"/>
  <c r="F45" i="1"/>
  <c r="AV44" i="1"/>
  <c r="AQ44" i="1"/>
  <c r="AM44" i="1"/>
  <c r="AK44" i="1"/>
  <c r="AH44" i="1"/>
  <c r="AJ44" i="1" s="1"/>
  <c r="AC44" i="1"/>
  <c r="AE44" i="1" s="1"/>
  <c r="W44" i="1"/>
  <c r="Y44" i="1" s="1"/>
  <c r="K44" i="1"/>
  <c r="F44" i="1"/>
  <c r="AV43" i="1"/>
  <c r="AM43" i="1"/>
  <c r="AK43" i="1"/>
  <c r="AH43" i="1"/>
  <c r="AJ43" i="1" s="1"/>
  <c r="AC43" i="1"/>
  <c r="AE43" i="1" s="1"/>
  <c r="W43" i="1"/>
  <c r="Y43" i="1" s="1"/>
  <c r="K43" i="1"/>
  <c r="M43" i="1" s="1"/>
  <c r="Q43" i="1" s="1"/>
  <c r="S43" i="1" s="1"/>
  <c r="F43" i="1"/>
  <c r="AL43" i="1" s="1"/>
  <c r="AV42" i="1"/>
  <c r="AM42" i="1"/>
  <c r="AK42" i="1"/>
  <c r="AH42" i="1"/>
  <c r="AJ42" i="1" s="1"/>
  <c r="AC42" i="1"/>
  <c r="W42" i="1"/>
  <c r="Y42" i="1" s="1"/>
  <c r="K42" i="1"/>
  <c r="M42" i="1" s="1"/>
  <c r="Q42" i="1" s="1"/>
  <c r="F42" i="1"/>
  <c r="AU40" i="1"/>
  <c r="AT40" i="1"/>
  <c r="AS40" i="1"/>
  <c r="AR40" i="1"/>
  <c r="AO40" i="1"/>
  <c r="AK40" i="1"/>
  <c r="AI40" i="1"/>
  <c r="AF40" i="1"/>
  <c r="AD40" i="1"/>
  <c r="X40" i="1"/>
  <c r="U40" i="1"/>
  <c r="R40" i="1"/>
  <c r="P40" i="1"/>
  <c r="O40" i="1"/>
  <c r="L40" i="1"/>
  <c r="G40" i="1"/>
  <c r="D40" i="1"/>
  <c r="AV39" i="1"/>
  <c r="AM39" i="1"/>
  <c r="AK39" i="1"/>
  <c r="AH39" i="1"/>
  <c r="AJ39" i="1" s="1"/>
  <c r="AC39" i="1"/>
  <c r="AE39" i="1" s="1"/>
  <c r="W39" i="1"/>
  <c r="Y39" i="1" s="1"/>
  <c r="K39" i="1"/>
  <c r="M39" i="1" s="1"/>
  <c r="Q39" i="1" s="1"/>
  <c r="S39" i="1" s="1"/>
  <c r="F39" i="1"/>
  <c r="AV38" i="1"/>
  <c r="AQ38" i="1"/>
  <c r="AM38" i="1"/>
  <c r="AK38" i="1"/>
  <c r="AH38" i="1"/>
  <c r="AJ38" i="1" s="1"/>
  <c r="AC38" i="1"/>
  <c r="AE38" i="1" s="1"/>
  <c r="W38" i="1"/>
  <c r="Y38" i="1" s="1"/>
  <c r="J38" i="1"/>
  <c r="K38" i="1" s="1"/>
  <c r="M38" i="1" s="1"/>
  <c r="Q38" i="1" s="1"/>
  <c r="S38" i="1" s="1"/>
  <c r="F38" i="1"/>
  <c r="AV37" i="1"/>
  <c r="AM37" i="1"/>
  <c r="AK37" i="1"/>
  <c r="AH37" i="1"/>
  <c r="AJ37" i="1" s="1"/>
  <c r="AC37" i="1"/>
  <c r="AE37" i="1" s="1"/>
  <c r="W37" i="1"/>
  <c r="Y37" i="1" s="1"/>
  <c r="I37" i="1"/>
  <c r="K37" i="1" s="1"/>
  <c r="M37" i="1" s="1"/>
  <c r="Q37" i="1" s="1"/>
  <c r="S37" i="1" s="1"/>
  <c r="F37" i="1"/>
  <c r="AV36" i="1"/>
  <c r="AM36" i="1"/>
  <c r="AK36" i="1"/>
  <c r="AH36" i="1"/>
  <c r="AC36" i="1"/>
  <c r="W36" i="1"/>
  <c r="Y36" i="1" s="1"/>
  <c r="K36" i="1"/>
  <c r="F36" i="1"/>
  <c r="AQ33" i="1"/>
  <c r="AU32" i="1"/>
  <c r="AT32" i="1"/>
  <c r="AS32" i="1"/>
  <c r="AR32" i="1"/>
  <c r="AO32" i="1"/>
  <c r="AK32" i="1"/>
  <c r="AI32" i="1"/>
  <c r="AF32" i="1"/>
  <c r="AE32" i="1"/>
  <c r="AD32" i="1"/>
  <c r="AC32" i="1"/>
  <c r="AB32" i="1"/>
  <c r="AA32" i="1"/>
  <c r="X32" i="1"/>
  <c r="U32" i="1"/>
  <c r="R32" i="1"/>
  <c r="Q32" i="1"/>
  <c r="P32" i="1"/>
  <c r="O32" i="1"/>
  <c r="L32" i="1"/>
  <c r="G32" i="1"/>
  <c r="D32" i="1"/>
  <c r="AV31" i="1"/>
  <c r="AM31" i="1"/>
  <c r="AK31" i="1"/>
  <c r="AH31" i="1"/>
  <c r="AJ31" i="1" s="1"/>
  <c r="W31" i="1"/>
  <c r="Y31" i="1" s="1"/>
  <c r="S31" i="1"/>
  <c r="K31" i="1"/>
  <c r="M31" i="1" s="1"/>
  <c r="F31" i="1"/>
  <c r="AV30" i="1"/>
  <c r="AM30" i="1"/>
  <c r="AK30" i="1"/>
  <c r="AH30" i="1"/>
  <c r="AJ30" i="1" s="1"/>
  <c r="W30" i="1"/>
  <c r="Y30" i="1" s="1"/>
  <c r="S30" i="1"/>
  <c r="K30" i="1"/>
  <c r="M30" i="1" s="1"/>
  <c r="F30" i="1"/>
  <c r="AV29" i="1"/>
  <c r="AM29" i="1"/>
  <c r="AK29" i="1"/>
  <c r="AH29" i="1"/>
  <c r="AJ29" i="1" s="1"/>
  <c r="W29" i="1"/>
  <c r="S29" i="1"/>
  <c r="K29" i="1"/>
  <c r="M29" i="1" s="1"/>
  <c r="F29" i="1"/>
  <c r="H29" i="1" s="1"/>
  <c r="AV28" i="1"/>
  <c r="AM28" i="1"/>
  <c r="AK28" i="1"/>
  <c r="AH28" i="1"/>
  <c r="AJ28" i="1" s="1"/>
  <c r="W28" i="1"/>
  <c r="Y28" i="1" s="1"/>
  <c r="S28" i="1"/>
  <c r="K28" i="1"/>
  <c r="K32" i="1" s="1"/>
  <c r="F28" i="1"/>
  <c r="AU26" i="1"/>
  <c r="AT26" i="1"/>
  <c r="AS26" i="1"/>
  <c r="AR26" i="1"/>
  <c r="AO26" i="1"/>
  <c r="AI26" i="1"/>
  <c r="AG26" i="1"/>
  <c r="AF26" i="1"/>
  <c r="AD26" i="1"/>
  <c r="AB26" i="1"/>
  <c r="X26" i="1"/>
  <c r="V26" i="1"/>
  <c r="U26" i="1"/>
  <c r="R26" i="1"/>
  <c r="Q26" i="1"/>
  <c r="O26" i="1"/>
  <c r="L26" i="1"/>
  <c r="G26" i="1"/>
  <c r="E26" i="1"/>
  <c r="D26" i="1"/>
  <c r="AV25" i="1"/>
  <c r="AM25" i="1"/>
  <c r="AM26" i="1" s="1"/>
  <c r="AK25" i="1"/>
  <c r="AH25" i="1"/>
  <c r="AC25" i="1"/>
  <c r="W25" i="1"/>
  <c r="K25" i="1"/>
  <c r="M25" i="1" s="1"/>
  <c r="H25" i="1"/>
  <c r="H26" i="1" s="1"/>
  <c r="F25" i="1"/>
  <c r="F26" i="1" s="1"/>
  <c r="AU23" i="1"/>
  <c r="AT23" i="1"/>
  <c r="AS23" i="1"/>
  <c r="AR23" i="1"/>
  <c r="AO23" i="1"/>
  <c r="AK23" i="1"/>
  <c r="AI23" i="1"/>
  <c r="AD23" i="1"/>
  <c r="X23" i="1"/>
  <c r="Q23" i="1"/>
  <c r="P23" i="1"/>
  <c r="L23" i="1"/>
  <c r="G23" i="1"/>
  <c r="AV22" i="1"/>
  <c r="AM22" i="1"/>
  <c r="AK22" i="1"/>
  <c r="AH22" i="1"/>
  <c r="AJ22" i="1" s="1"/>
  <c r="AC22" i="1"/>
  <c r="AE22" i="1" s="1"/>
  <c r="W22" i="1"/>
  <c r="Y22" i="1" s="1"/>
  <c r="I22" i="1"/>
  <c r="K22" i="1" s="1"/>
  <c r="M22" i="1" s="1"/>
  <c r="F22" i="1"/>
  <c r="H22" i="1" s="1"/>
  <c r="AV21" i="1"/>
  <c r="AM21" i="1"/>
  <c r="AK21" i="1"/>
  <c r="AH21" i="1"/>
  <c r="AJ21" i="1" s="1"/>
  <c r="AC21" i="1"/>
  <c r="AE21" i="1" s="1"/>
  <c r="W21" i="1"/>
  <c r="Y21" i="1" s="1"/>
  <c r="I21" i="1"/>
  <c r="K21" i="1" s="1"/>
  <c r="M21" i="1" s="1"/>
  <c r="F21" i="1"/>
  <c r="H21" i="1" s="1"/>
  <c r="AV20" i="1"/>
  <c r="AM20" i="1"/>
  <c r="AK20" i="1"/>
  <c r="AH20" i="1"/>
  <c r="AJ20" i="1" s="1"/>
  <c r="AC20" i="1"/>
  <c r="AE20" i="1" s="1"/>
  <c r="W20" i="1"/>
  <c r="K20" i="1"/>
  <c r="M20" i="1" s="1"/>
  <c r="R20" i="1" s="1"/>
  <c r="F20" i="1"/>
  <c r="H20" i="1" s="1"/>
  <c r="AV19" i="1"/>
  <c r="AM19" i="1"/>
  <c r="AK19" i="1"/>
  <c r="AH19" i="1"/>
  <c r="AC19" i="1"/>
  <c r="W19" i="1"/>
  <c r="O19" i="1"/>
  <c r="S19" i="1" s="1"/>
  <c r="K19" i="1"/>
  <c r="F19" i="1"/>
  <c r="AU17" i="1"/>
  <c r="AT17" i="1"/>
  <c r="AS17" i="1"/>
  <c r="AR17" i="1"/>
  <c r="AK17" i="1"/>
  <c r="AI17" i="1"/>
  <c r="AF17" i="1"/>
  <c r="AD17" i="1"/>
  <c r="X17" i="1"/>
  <c r="U17" i="1"/>
  <c r="R17" i="1"/>
  <c r="Q17" i="1"/>
  <c r="L17" i="1"/>
  <c r="G17" i="1"/>
  <c r="D17" i="1"/>
  <c r="AV16" i="1"/>
  <c r="AM16" i="1"/>
  <c r="AK16" i="1"/>
  <c r="AH16" i="1"/>
  <c r="AJ16" i="1" s="1"/>
  <c r="AC16" i="1"/>
  <c r="W16" i="1"/>
  <c r="Y16" i="1" s="1"/>
  <c r="K16" i="1"/>
  <c r="M16" i="1" s="1"/>
  <c r="O16" i="1" s="1"/>
  <c r="H16" i="1"/>
  <c r="F16" i="1"/>
  <c r="AV15" i="1"/>
  <c r="AQ15" i="1"/>
  <c r="AM15" i="1"/>
  <c r="AK15" i="1"/>
  <c r="AH15" i="1"/>
  <c r="AJ15" i="1" s="1"/>
  <c r="AC15" i="1"/>
  <c r="AE15" i="1" s="1"/>
  <c r="W15" i="1"/>
  <c r="Y15" i="1" s="1"/>
  <c r="K15" i="1"/>
  <c r="M15" i="1" s="1"/>
  <c r="O15" i="1" s="1"/>
  <c r="F15" i="1"/>
  <c r="AV14" i="1"/>
  <c r="AM14" i="1"/>
  <c r="AK14" i="1"/>
  <c r="AH14" i="1"/>
  <c r="AJ14" i="1" s="1"/>
  <c r="AC14" i="1"/>
  <c r="AE14" i="1" s="1"/>
  <c r="W14" i="1"/>
  <c r="Y14" i="1" s="1"/>
  <c r="K14" i="1"/>
  <c r="M14" i="1" s="1"/>
  <c r="O14" i="1" s="1"/>
  <c r="F14" i="1"/>
  <c r="AV13" i="1"/>
  <c r="AQ13" i="1"/>
  <c r="AM13" i="1"/>
  <c r="AK13" i="1"/>
  <c r="AH13" i="1"/>
  <c r="AJ13" i="1" s="1"/>
  <c r="AC13" i="1"/>
  <c r="AE13" i="1" s="1"/>
  <c r="W13" i="1"/>
  <c r="K13" i="1"/>
  <c r="F13" i="1"/>
  <c r="AU11" i="1"/>
  <c r="AT11" i="1"/>
  <c r="AS11" i="1"/>
  <c r="AR11" i="1"/>
  <c r="AO11" i="1"/>
  <c r="AI11" i="1"/>
  <c r="AG11" i="1"/>
  <c r="AF11" i="1"/>
  <c r="AD11" i="1"/>
  <c r="AB11" i="1"/>
  <c r="X11" i="1"/>
  <c r="V11" i="1"/>
  <c r="U11" i="1"/>
  <c r="L11" i="1"/>
  <c r="G11" i="1"/>
  <c r="F11" i="1"/>
  <c r="E11" i="1"/>
  <c r="D11" i="1"/>
  <c r="AV10" i="1"/>
  <c r="AM10" i="1"/>
  <c r="AM11" i="1" s="1"/>
  <c r="AK10" i="1"/>
  <c r="AK11" i="1" s="1"/>
  <c r="AH10" i="1"/>
  <c r="AC10" i="1"/>
  <c r="AC11" i="1" s="1"/>
  <c r="W10" i="1"/>
  <c r="W11" i="1" s="1"/>
  <c r="R10" i="1"/>
  <c r="R11" i="1" s="1"/>
  <c r="Q10" i="1"/>
  <c r="Q11" i="1" s="1"/>
  <c r="P10" i="1"/>
  <c r="P11" i="1" s="1"/>
  <c r="O10" i="1"/>
  <c r="I10" i="1"/>
  <c r="K10" i="1" s="1"/>
  <c r="M10" i="1" s="1"/>
  <c r="F10" i="1"/>
  <c r="H10" i="1" s="1"/>
  <c r="H11" i="1" s="1"/>
  <c r="S9" i="1"/>
  <c r="K8" i="1"/>
  <c r="W149" i="1" l="1"/>
  <c r="AL104" i="1"/>
  <c r="AN104" i="1" s="1"/>
  <c r="K11" i="1"/>
  <c r="AD33" i="1"/>
  <c r="S86" i="1"/>
  <c r="K92" i="1"/>
  <c r="AL95" i="1"/>
  <c r="M135" i="1"/>
  <c r="M136" i="1" s="1"/>
  <c r="O158" i="1"/>
  <c r="H43" i="4"/>
  <c r="F354" i="7"/>
  <c r="AL15" i="1"/>
  <c r="AN15" i="1" s="1"/>
  <c r="F40" i="1"/>
  <c r="X100" i="1"/>
  <c r="AM46" i="1"/>
  <c r="AH64" i="1"/>
  <c r="M70" i="1"/>
  <c r="M72" i="1" s="1"/>
  <c r="W92" i="1"/>
  <c r="AC107" i="1"/>
  <c r="M116" i="1"/>
  <c r="AL121" i="1"/>
  <c r="Q143" i="1"/>
  <c r="AM149" i="1"/>
  <c r="D55" i="3"/>
  <c r="F41" i="3"/>
  <c r="F49" i="3"/>
  <c r="F53" i="3"/>
  <c r="F96" i="3"/>
  <c r="F55" i="3"/>
  <c r="F7" i="3"/>
  <c r="F132" i="3"/>
  <c r="H240" i="6"/>
  <c r="F60" i="3"/>
  <c r="K18" i="2"/>
  <c r="K22" i="2" s="1"/>
  <c r="AJ46" i="1"/>
  <c r="AL155" i="1"/>
  <c r="AN155" i="1" s="1"/>
  <c r="V33" i="1"/>
  <c r="AE52" i="1"/>
  <c r="R68" i="1"/>
  <c r="AL87" i="1"/>
  <c r="AN87" i="1" s="1"/>
  <c r="AN95" i="1"/>
  <c r="M110" i="1"/>
  <c r="AM126" i="1"/>
  <c r="AM132" i="1" s="1"/>
  <c r="Y158" i="1"/>
  <c r="F24" i="3"/>
  <c r="F25" i="3" s="1"/>
  <c r="D56" i="3"/>
  <c r="AG33" i="1"/>
  <c r="AG133" i="1" s="1"/>
  <c r="AV17" i="1"/>
  <c r="AD100" i="1"/>
  <c r="AN43" i="1"/>
  <c r="AC68" i="1"/>
  <c r="AL83" i="1"/>
  <c r="AN83" i="1" s="1"/>
  <c r="Q90" i="1"/>
  <c r="S90" i="1" s="1"/>
  <c r="D118" i="1"/>
  <c r="AU118" i="1"/>
  <c r="AV111" i="1"/>
  <c r="AC117" i="1"/>
  <c r="W117" i="1"/>
  <c r="AL122" i="1"/>
  <c r="AN122" i="1" s="1"/>
  <c r="AK136" i="1"/>
  <c r="AV149" i="1"/>
  <c r="Q158" i="1"/>
  <c r="F9" i="3"/>
  <c r="G44" i="3"/>
  <c r="G60" i="3"/>
  <c r="F77" i="3"/>
  <c r="F78" i="3" s="1"/>
  <c r="D111" i="3"/>
  <c r="F128" i="3"/>
  <c r="F131" i="3"/>
  <c r="G132" i="3"/>
  <c r="H220" i="4"/>
  <c r="AM96" i="1"/>
  <c r="AL21" i="1"/>
  <c r="AN21" i="1" s="1"/>
  <c r="AL31" i="1"/>
  <c r="AN31" i="1" s="1"/>
  <c r="AV58" i="1"/>
  <c r="AL74" i="1"/>
  <c r="AH76" i="1"/>
  <c r="AJ86" i="1"/>
  <c r="AJ88" i="1" s="1"/>
  <c r="Y91" i="1"/>
  <c r="AT118" i="1"/>
  <c r="P115" i="1"/>
  <c r="S115" i="1" s="1"/>
  <c r="P143" i="1"/>
  <c r="Q33" i="1"/>
  <c r="D33" i="1"/>
  <c r="W17" i="1"/>
  <c r="AL29" i="1"/>
  <c r="AN29" i="1" s="1"/>
  <c r="AV32" i="1"/>
  <c r="AM40" i="1"/>
  <c r="AV40" i="1"/>
  <c r="R63" i="1"/>
  <c r="S63" i="1" s="1"/>
  <c r="AH68" i="1"/>
  <c r="AM88" i="1"/>
  <c r="Q88" i="1"/>
  <c r="S88" i="1" s="1"/>
  <c r="AL106" i="1"/>
  <c r="AN106" i="1" s="1"/>
  <c r="G118" i="1"/>
  <c r="AV107" i="1"/>
  <c r="W126" i="1"/>
  <c r="AV131" i="1"/>
  <c r="F95" i="3"/>
  <c r="F115" i="3"/>
  <c r="G128" i="3"/>
  <c r="G131" i="3"/>
  <c r="H329" i="7"/>
  <c r="E105" i="3"/>
  <c r="E13" i="3"/>
  <c r="E24" i="3"/>
  <c r="E25" i="3" s="1"/>
  <c r="E19" i="3"/>
  <c r="E47" i="3"/>
  <c r="E51" i="3" s="1"/>
  <c r="E55" i="3"/>
  <c r="E129" i="3"/>
  <c r="E41" i="3"/>
  <c r="H41" i="3" s="1"/>
  <c r="E144" i="3"/>
  <c r="E37" i="3"/>
  <c r="E84" i="3"/>
  <c r="E35" i="3"/>
  <c r="E62" i="3"/>
  <c r="E137" i="3"/>
  <c r="E74" i="3"/>
  <c r="F61" i="5"/>
  <c r="H61" i="5" s="1"/>
  <c r="C249" i="5"/>
  <c r="E36" i="3"/>
  <c r="E61" i="3"/>
  <c r="E135" i="3"/>
  <c r="H34" i="5"/>
  <c r="H138" i="5"/>
  <c r="E65" i="3"/>
  <c r="E67" i="3" s="1"/>
  <c r="E106" i="3"/>
  <c r="D249" i="5"/>
  <c r="H286" i="5"/>
  <c r="F36" i="3"/>
  <c r="F144" i="3"/>
  <c r="H219" i="6"/>
  <c r="F143" i="3"/>
  <c r="F62" i="3"/>
  <c r="F88" i="3"/>
  <c r="F89" i="3" s="1"/>
  <c r="F38" i="3"/>
  <c r="F145" i="3"/>
  <c r="H195" i="6"/>
  <c r="F44" i="3"/>
  <c r="C333" i="6"/>
  <c r="F118" i="3"/>
  <c r="F119" i="3" s="1"/>
  <c r="G36" i="3"/>
  <c r="G37" i="3"/>
  <c r="G28" i="3"/>
  <c r="H215" i="7"/>
  <c r="G12" i="3"/>
  <c r="H234" i="7"/>
  <c r="G49" i="3"/>
  <c r="F100" i="7"/>
  <c r="G35" i="3"/>
  <c r="G59" i="3"/>
  <c r="G73" i="3"/>
  <c r="G99" i="3"/>
  <c r="G101" i="3" s="1"/>
  <c r="H105" i="7"/>
  <c r="G14" i="3"/>
  <c r="G29" i="3"/>
  <c r="H68" i="7"/>
  <c r="C325" i="7"/>
  <c r="G62" i="3"/>
  <c r="G118" i="3"/>
  <c r="G119" i="3" s="1"/>
  <c r="C293" i="7"/>
  <c r="H123" i="7"/>
  <c r="F319" i="7"/>
  <c r="F80" i="7"/>
  <c r="H80" i="7" s="1"/>
  <c r="G56" i="3"/>
  <c r="G22" i="3"/>
  <c r="F171" i="7"/>
  <c r="H171" i="7" s="1"/>
  <c r="D293" i="7"/>
  <c r="G103" i="3"/>
  <c r="G55" i="3"/>
  <c r="G24" i="3"/>
  <c r="G25" i="3" s="1"/>
  <c r="G84" i="3"/>
  <c r="G86" i="3" s="1"/>
  <c r="F100" i="3"/>
  <c r="D333" i="6"/>
  <c r="F12" i="3"/>
  <c r="H207" i="6"/>
  <c r="H82" i="6"/>
  <c r="F103" i="3"/>
  <c r="H337" i="6"/>
  <c r="F56" i="3"/>
  <c r="H45" i="6"/>
  <c r="F27" i="3"/>
  <c r="H27" i="3" s="1"/>
  <c r="F37" i="3"/>
  <c r="C299" i="6"/>
  <c r="F104" i="3"/>
  <c r="F137" i="3"/>
  <c r="H116" i="6"/>
  <c r="F129" i="3"/>
  <c r="F84" i="3"/>
  <c r="F86" i="3" s="1"/>
  <c r="F18" i="3"/>
  <c r="F29" i="3"/>
  <c r="H24" i="6"/>
  <c r="F101" i="3"/>
  <c r="H234" i="6"/>
  <c r="F28" i="3"/>
  <c r="F61" i="3"/>
  <c r="F130" i="3"/>
  <c r="F142" i="3"/>
  <c r="F64" i="6"/>
  <c r="H64" i="6" s="1"/>
  <c r="H153" i="5"/>
  <c r="E77" i="3"/>
  <c r="E78" i="3" s="1"/>
  <c r="H112" i="5"/>
  <c r="E28" i="3"/>
  <c r="H51" i="5"/>
  <c r="H126" i="5"/>
  <c r="F226" i="5"/>
  <c r="H226" i="5" s="1"/>
  <c r="F170" i="5"/>
  <c r="H170" i="5" s="1"/>
  <c r="E103" i="3"/>
  <c r="E85" i="3"/>
  <c r="H85" i="3" s="1"/>
  <c r="E73" i="3"/>
  <c r="E75" i="3" s="1"/>
  <c r="E12" i="3"/>
  <c r="E93" i="3"/>
  <c r="E104" i="3"/>
  <c r="E136" i="3"/>
  <c r="H399" i="4"/>
  <c r="D61" i="3"/>
  <c r="D36" i="3"/>
  <c r="D44" i="3"/>
  <c r="F216" i="4"/>
  <c r="D144" i="3"/>
  <c r="D18" i="3"/>
  <c r="D93" i="3"/>
  <c r="D19" i="3"/>
  <c r="H19" i="3" s="1"/>
  <c r="I19" i="3" s="1"/>
  <c r="D7" i="3"/>
  <c r="D10" i="3" s="1"/>
  <c r="D74" i="3"/>
  <c r="D75" i="3" s="1"/>
  <c r="D129" i="3"/>
  <c r="D59" i="3"/>
  <c r="L108" i="3"/>
  <c r="E82" i="3"/>
  <c r="G133" i="3"/>
  <c r="D12" i="3"/>
  <c r="H215" i="4"/>
  <c r="D37" i="3"/>
  <c r="D80" i="3"/>
  <c r="D82" i="3" s="1"/>
  <c r="D20" i="3"/>
  <c r="H20" i="3" s="1"/>
  <c r="D47" i="3"/>
  <c r="I44" i="4"/>
  <c r="D138" i="3"/>
  <c r="D62" i="3"/>
  <c r="D112" i="3"/>
  <c r="D116" i="3" s="1"/>
  <c r="D13" i="3"/>
  <c r="C74" i="4"/>
  <c r="D14" i="3"/>
  <c r="D50" i="3"/>
  <c r="H320" i="4"/>
  <c r="H102" i="4"/>
  <c r="D97" i="3"/>
  <c r="D66" i="3"/>
  <c r="D103" i="3"/>
  <c r="D77" i="3"/>
  <c r="D78" i="3" s="1"/>
  <c r="O84" i="1"/>
  <c r="S84" i="1" s="1"/>
  <c r="S78" i="1"/>
  <c r="O21" i="1"/>
  <c r="R21" i="1"/>
  <c r="F38" i="5"/>
  <c r="H38" i="5" s="1"/>
  <c r="E15" i="3"/>
  <c r="H293" i="5"/>
  <c r="H63" i="6"/>
  <c r="H46" i="7"/>
  <c r="AI100" i="1"/>
  <c r="H61" i="1"/>
  <c r="AL61" i="1"/>
  <c r="AN61" i="1" s="1"/>
  <c r="Y115" i="1"/>
  <c r="AH136" i="1"/>
  <c r="AK143" i="1"/>
  <c r="E18" i="3"/>
  <c r="E143" i="3"/>
  <c r="F310" i="4"/>
  <c r="H310" i="4" s="1"/>
  <c r="D118" i="3"/>
  <c r="D119" i="3" s="1"/>
  <c r="H37" i="5"/>
  <c r="H65" i="5"/>
  <c r="H104" i="5"/>
  <c r="H219" i="5"/>
  <c r="E94" i="3"/>
  <c r="H256" i="5"/>
  <c r="E111" i="3"/>
  <c r="H353" i="5"/>
  <c r="E141" i="3"/>
  <c r="H354" i="7"/>
  <c r="Y10" i="1"/>
  <c r="Y11" i="1" s="1"/>
  <c r="AM52" i="1"/>
  <c r="AL55" i="1"/>
  <c r="AN55" i="1" s="1"/>
  <c r="AJ75" i="1"/>
  <c r="AJ76" i="1" s="1"/>
  <c r="AL138" i="1"/>
  <c r="AN138" i="1" s="1"/>
  <c r="G77" i="3"/>
  <c r="G78" i="3" s="1"/>
  <c r="H309" i="4"/>
  <c r="H406" i="4"/>
  <c r="H222" i="5"/>
  <c r="E95" i="3"/>
  <c r="H261" i="5"/>
  <c r="E112" i="3"/>
  <c r="H360" i="5"/>
  <c r="E142" i="3"/>
  <c r="H380" i="6"/>
  <c r="H50" i="7"/>
  <c r="H283" i="7"/>
  <c r="H359" i="7"/>
  <c r="G135" i="3"/>
  <c r="AC17" i="1"/>
  <c r="F47" i="3"/>
  <c r="H385" i="6"/>
  <c r="F136" i="3"/>
  <c r="H109" i="1"/>
  <c r="H273" i="4"/>
  <c r="H225" i="5"/>
  <c r="AL38" i="1"/>
  <c r="AN38" i="1" s="1"/>
  <c r="H38" i="1"/>
  <c r="Y95" i="1"/>
  <c r="H237" i="4"/>
  <c r="H198" i="5"/>
  <c r="H218" i="6"/>
  <c r="AJ66" i="1"/>
  <c r="AJ68" i="1" s="1"/>
  <c r="X132" i="1"/>
  <c r="E115" i="3"/>
  <c r="F178" i="5"/>
  <c r="H178" i="5" s="1"/>
  <c r="E70" i="3"/>
  <c r="E71" i="3" s="1"/>
  <c r="F138" i="3"/>
  <c r="F315" i="4"/>
  <c r="H315" i="4" s="1"/>
  <c r="H177" i="5"/>
  <c r="H233" i="5"/>
  <c r="E100" i="3"/>
  <c r="F234" i="5"/>
  <c r="H234" i="5" s="1"/>
  <c r="H149" i="6"/>
  <c r="F54" i="3"/>
  <c r="H254" i="6"/>
  <c r="F94" i="3"/>
  <c r="F262" i="7"/>
  <c r="H262" i="7" s="1"/>
  <c r="M28" i="1"/>
  <c r="M32" i="1" s="1"/>
  <c r="AM68" i="1"/>
  <c r="W107" i="1"/>
  <c r="M121" i="1"/>
  <c r="M126" i="1" s="1"/>
  <c r="M132" i="1" s="1"/>
  <c r="F65" i="3"/>
  <c r="F67" i="3" s="1"/>
  <c r="H212" i="4"/>
  <c r="F251" i="4"/>
  <c r="H251" i="4" s="1"/>
  <c r="C283" i="4"/>
  <c r="H122" i="5"/>
  <c r="H223" i="6"/>
  <c r="F227" i="6"/>
  <c r="H227" i="6" s="1"/>
  <c r="H307" i="6"/>
  <c r="F111" i="3"/>
  <c r="H142" i="7"/>
  <c r="G53" i="3"/>
  <c r="H222" i="7"/>
  <c r="H261" i="7"/>
  <c r="AE10" i="1"/>
  <c r="AE11" i="1" s="1"/>
  <c r="Y29" i="1"/>
  <c r="Y32" i="1" s="1"/>
  <c r="AM158" i="1"/>
  <c r="G120" i="3"/>
  <c r="G121" i="3" s="1"/>
  <c r="H36" i="6"/>
  <c r="F292" i="7"/>
  <c r="G137" i="3"/>
  <c r="H358" i="4"/>
  <c r="D136" i="3"/>
  <c r="AR100" i="1"/>
  <c r="AJ104" i="1"/>
  <c r="W132" i="1"/>
  <c r="H278" i="4"/>
  <c r="F281" i="5"/>
  <c r="H281" i="5" s="1"/>
  <c r="E118" i="3"/>
  <c r="E119" i="3" s="1"/>
  <c r="H99" i="7"/>
  <c r="G38" i="3"/>
  <c r="F282" i="4"/>
  <c r="G50" i="3"/>
  <c r="H124" i="4"/>
  <c r="D49" i="3"/>
  <c r="H244" i="4"/>
  <c r="H150" i="5"/>
  <c r="Q70" i="1"/>
  <c r="S70" i="1" s="1"/>
  <c r="F88" i="1"/>
  <c r="AN121" i="1"/>
  <c r="AC140" i="1"/>
  <c r="AE140" i="1" s="1"/>
  <c r="AA143" i="1"/>
  <c r="F21" i="3"/>
  <c r="G65" i="3"/>
  <c r="C122" i="3"/>
  <c r="H250" i="4"/>
  <c r="F95" i="5"/>
  <c r="H95" i="5" s="1"/>
  <c r="E38" i="3"/>
  <c r="H226" i="6"/>
  <c r="F81" i="3"/>
  <c r="H81" i="3" s="1"/>
  <c r="H312" i="6"/>
  <c r="F112" i="3"/>
  <c r="H146" i="7"/>
  <c r="G54" i="3"/>
  <c r="H191" i="7"/>
  <c r="G69" i="3"/>
  <c r="G71" i="3" s="1"/>
  <c r="AJ138" i="1"/>
  <c r="AJ143" i="1" s="1"/>
  <c r="M154" i="1"/>
  <c r="AL151" i="1"/>
  <c r="F35" i="3"/>
  <c r="H294" i="6"/>
  <c r="F58" i="1"/>
  <c r="E96" i="3"/>
  <c r="E131" i="3"/>
  <c r="E133" i="3" s="1"/>
  <c r="F316" i="5"/>
  <c r="H316" i="5" s="1"/>
  <c r="C316" i="4"/>
  <c r="H174" i="5"/>
  <c r="H310" i="5"/>
  <c r="AJ98" i="1"/>
  <c r="AJ99" i="1" s="1"/>
  <c r="H249" i="6"/>
  <c r="W76" i="1"/>
  <c r="Y74" i="1"/>
  <c r="Y76" i="1" s="1"/>
  <c r="AE128" i="1"/>
  <c r="AE129" i="1" s="1"/>
  <c r="AL13" i="1"/>
  <c r="AN13" i="1" s="1"/>
  <c r="AL16" i="1"/>
  <c r="AN16" i="1" s="1"/>
  <c r="Y46" i="1"/>
  <c r="Y70" i="1"/>
  <c r="Y72" i="1" s="1"/>
  <c r="W72" i="1"/>
  <c r="M94" i="1"/>
  <c r="M96" i="1" s="1"/>
  <c r="K96" i="1"/>
  <c r="H124" i="1"/>
  <c r="H126" i="1" s="1"/>
  <c r="AL124" i="1"/>
  <c r="AN124" i="1" s="1"/>
  <c r="W143" i="1"/>
  <c r="D86" i="3"/>
  <c r="F106" i="3"/>
  <c r="D132" i="3"/>
  <c r="F42" i="7"/>
  <c r="H42" i="7" s="1"/>
  <c r="G15" i="3"/>
  <c r="H197" i="7"/>
  <c r="F198" i="7"/>
  <c r="H198" i="7" s="1"/>
  <c r="AL67" i="1"/>
  <c r="AN67" i="1" s="1"/>
  <c r="H67" i="1"/>
  <c r="AL116" i="1"/>
  <c r="AN116" i="1" s="1"/>
  <c r="G106" i="3"/>
  <c r="H135" i="4"/>
  <c r="D53" i="3"/>
  <c r="H184" i="4"/>
  <c r="D69" i="3"/>
  <c r="F131" i="5"/>
  <c r="H131" i="5" s="1"/>
  <c r="H55" i="6"/>
  <c r="H201" i="6"/>
  <c r="F70" i="3"/>
  <c r="F71" i="3" s="1"/>
  <c r="H41" i="7"/>
  <c r="H109" i="7"/>
  <c r="G42" i="3"/>
  <c r="H42" i="3" s="1"/>
  <c r="H16" i="7"/>
  <c r="G7" i="3"/>
  <c r="H363" i="7"/>
  <c r="G136" i="3"/>
  <c r="H243" i="7"/>
  <c r="G93" i="3"/>
  <c r="G97" i="3" s="1"/>
  <c r="Y58" i="1"/>
  <c r="H324" i="7"/>
  <c r="H70" i="1"/>
  <c r="AL145" i="1"/>
  <c r="AN145" i="1" s="1"/>
  <c r="F149" i="1"/>
  <c r="H230" i="5"/>
  <c r="E99" i="3"/>
  <c r="F223" i="7"/>
  <c r="H223" i="7" s="1"/>
  <c r="G80" i="3"/>
  <c r="G82" i="3" s="1"/>
  <c r="H281" i="4"/>
  <c r="AJ32" i="1"/>
  <c r="F52" i="1"/>
  <c r="AL48" i="1"/>
  <c r="AN48" i="1" s="1"/>
  <c r="H48" i="1"/>
  <c r="L33" i="1"/>
  <c r="K17" i="1"/>
  <c r="W40" i="1"/>
  <c r="AJ60" i="1"/>
  <c r="AJ64" i="1" s="1"/>
  <c r="AJ90" i="1"/>
  <c r="AJ92" i="1" s="1"/>
  <c r="AH92" i="1"/>
  <c r="AJ126" i="1"/>
  <c r="C108" i="3"/>
  <c r="H139" i="4"/>
  <c r="D54" i="3"/>
  <c r="H190" i="4"/>
  <c r="D70" i="3"/>
  <c r="H130" i="5"/>
  <c r="H87" i="1"/>
  <c r="H288" i="7"/>
  <c r="G105" i="3"/>
  <c r="H31" i="1"/>
  <c r="H305" i="5"/>
  <c r="H21" i="7"/>
  <c r="G9" i="3"/>
  <c r="H214" i="7"/>
  <c r="AH11" i="1"/>
  <c r="AJ10" i="1"/>
  <c r="AJ11" i="1" s="1"/>
  <c r="D121" i="3"/>
  <c r="H363" i="4"/>
  <c r="D137" i="3"/>
  <c r="H248" i="7"/>
  <c r="H120" i="4"/>
  <c r="D48" i="3"/>
  <c r="AD132" i="1"/>
  <c r="H170" i="4"/>
  <c r="D65" i="3"/>
  <c r="G33" i="1"/>
  <c r="H13" i="1"/>
  <c r="Y143" i="1"/>
  <c r="U33" i="1"/>
  <c r="M13" i="1"/>
  <c r="M17" i="1" s="1"/>
  <c r="AC26" i="1"/>
  <c r="AE25" i="1"/>
  <c r="AE26" i="1" s="1"/>
  <c r="AL39" i="1"/>
  <c r="AN39" i="1" s="1"/>
  <c r="AL57" i="1"/>
  <c r="AN57" i="1" s="1"/>
  <c r="AE113" i="1"/>
  <c r="AE117" i="1" s="1"/>
  <c r="R158" i="1"/>
  <c r="E7" i="3"/>
  <c r="G66" i="3"/>
  <c r="H66" i="3" s="1"/>
  <c r="D107" i="3"/>
  <c r="H59" i="6"/>
  <c r="F83" i="6"/>
  <c r="F157" i="6"/>
  <c r="H157" i="6" s="1"/>
  <c r="W84" i="1"/>
  <c r="AM58" i="1"/>
  <c r="E30" i="3"/>
  <c r="D99" i="3"/>
  <c r="D101" i="3" s="1"/>
  <c r="H162" i="6"/>
  <c r="H54" i="7"/>
  <c r="H79" i="7"/>
  <c r="H113" i="7"/>
  <c r="AL10" i="1"/>
  <c r="AI33" i="1"/>
  <c r="AH40" i="1"/>
  <c r="W52" i="1"/>
  <c r="M64" i="1"/>
  <c r="K68" i="1"/>
  <c r="AM72" i="1"/>
  <c r="AV96" i="1"/>
  <c r="AK99" i="1"/>
  <c r="X118" i="1"/>
  <c r="AJ111" i="1"/>
  <c r="AR132" i="1"/>
  <c r="S136" i="1"/>
  <c r="E9" i="3"/>
  <c r="D43" i="3"/>
  <c r="D45" i="3" s="1"/>
  <c r="G111" i="3"/>
  <c r="E145" i="3"/>
  <c r="H145" i="3" s="1"/>
  <c r="I111" i="4"/>
  <c r="F264" i="4"/>
  <c r="H264" i="4" s="1"/>
  <c r="F113" i="5"/>
  <c r="H113" i="5" s="1"/>
  <c r="F186" i="5"/>
  <c r="H186" i="5" s="1"/>
  <c r="F46" i="6"/>
  <c r="H46" i="6" s="1"/>
  <c r="F235" i="6"/>
  <c r="H235" i="6" s="1"/>
  <c r="H275" i="6"/>
  <c r="H411" i="6"/>
  <c r="H427" i="6" s="1"/>
  <c r="F59" i="7"/>
  <c r="H59" i="7" s="1"/>
  <c r="F231" i="7"/>
  <c r="H231" i="7" s="1"/>
  <c r="F313" i="7"/>
  <c r="H313" i="7" s="1"/>
  <c r="AM76" i="1"/>
  <c r="H88" i="1"/>
  <c r="AM107" i="1"/>
  <c r="AD118" i="1"/>
  <c r="AD133" i="1" s="1"/>
  <c r="AD160" i="1" s="1"/>
  <c r="AS132" i="1"/>
  <c r="K158" i="1"/>
  <c r="G30" i="3"/>
  <c r="E43" i="3"/>
  <c r="F48" i="3"/>
  <c r="F207" i="5"/>
  <c r="H207" i="5" s="1"/>
  <c r="H58" i="7"/>
  <c r="H230" i="7"/>
  <c r="F275" i="7"/>
  <c r="H275" i="7" s="1"/>
  <c r="F68" i="1"/>
  <c r="AH96" i="1"/>
  <c r="AM117" i="1"/>
  <c r="E53" i="3"/>
  <c r="E57" i="3" s="1"/>
  <c r="H80" i="4"/>
  <c r="H68" i="6"/>
  <c r="AO33" i="1"/>
  <c r="F23" i="1"/>
  <c r="AR33" i="1"/>
  <c r="K23" i="1"/>
  <c r="AK26" i="1"/>
  <c r="AM32" i="1"/>
  <c r="AS100" i="1"/>
  <c r="P60" i="1"/>
  <c r="S60" i="1" s="1"/>
  <c r="AL71" i="1"/>
  <c r="AN71" i="1" s="1"/>
  <c r="AM84" i="1"/>
  <c r="S96" i="1"/>
  <c r="AF118" i="1"/>
  <c r="AM111" i="1"/>
  <c r="L118" i="1"/>
  <c r="C32" i="3"/>
  <c r="G141" i="3"/>
  <c r="G146" i="3" s="1"/>
  <c r="F303" i="4"/>
  <c r="H303" i="4" s="1"/>
  <c r="H396" i="4"/>
  <c r="F56" i="5"/>
  <c r="H56" i="5" s="1"/>
  <c r="H274" i="7"/>
  <c r="AS33" i="1"/>
  <c r="AV33" i="1" s="1"/>
  <c r="R118" i="1"/>
  <c r="AM143" i="1"/>
  <c r="AJ94" i="1"/>
  <c r="AJ96" i="1" s="1"/>
  <c r="AH107" i="1"/>
  <c r="F14" i="3"/>
  <c r="L122" i="3"/>
  <c r="AL14" i="1"/>
  <c r="AN14" i="1" s="1"/>
  <c r="AJ52" i="1"/>
  <c r="H71" i="1"/>
  <c r="AN91" i="1"/>
  <c r="S99" i="1"/>
  <c r="H302" i="4"/>
  <c r="F337" i="4"/>
  <c r="H55" i="5"/>
  <c r="H326" i="6"/>
  <c r="AM17" i="1"/>
  <c r="AH32" i="1"/>
  <c r="AL37" i="1"/>
  <c r="AN37" i="1" s="1"/>
  <c r="L100" i="1"/>
  <c r="AU100" i="1"/>
  <c r="AV68" i="1"/>
  <c r="AL110" i="1"/>
  <c r="AN110" i="1" s="1"/>
  <c r="AT132" i="1"/>
  <c r="P149" i="1"/>
  <c r="S151" i="1"/>
  <c r="L32" i="3"/>
  <c r="G112" i="3"/>
  <c r="F146" i="5"/>
  <c r="H146" i="5" s="1"/>
  <c r="C235" i="7"/>
  <c r="AF33" i="1"/>
  <c r="AL20" i="1"/>
  <c r="AN20" i="1" s="1"/>
  <c r="Y40" i="1"/>
  <c r="F160" i="5"/>
  <c r="H160" i="5" s="1"/>
  <c r="D299" i="6"/>
  <c r="H66" i="1"/>
  <c r="U118" i="1"/>
  <c r="AT33" i="1"/>
  <c r="S10" i="1"/>
  <c r="E33" i="1"/>
  <c r="AC23" i="1"/>
  <c r="AV23" i="1"/>
  <c r="AV52" i="1"/>
  <c r="Y66" i="1"/>
  <c r="Y68" i="1" s="1"/>
  <c r="AL113" i="1"/>
  <c r="AN113" i="1" s="1"/>
  <c r="P132" i="1"/>
  <c r="S139" i="1"/>
  <c r="H114" i="3"/>
  <c r="J114" i="3" s="1"/>
  <c r="I62" i="4"/>
  <c r="H207" i="4"/>
  <c r="D76" i="5"/>
  <c r="H145" i="5"/>
  <c r="H169" i="5"/>
  <c r="H25" i="6"/>
  <c r="C241" i="6"/>
  <c r="F427" i="6"/>
  <c r="H63" i="7"/>
  <c r="D235" i="7"/>
  <c r="AJ17" i="1"/>
  <c r="R22" i="1"/>
  <c r="O22" i="1"/>
  <c r="O23" i="1" s="1"/>
  <c r="AH17" i="1"/>
  <c r="M26" i="1"/>
  <c r="P25" i="1"/>
  <c r="K26" i="1"/>
  <c r="AL30" i="1"/>
  <c r="AN30" i="1" s="1"/>
  <c r="H30" i="1"/>
  <c r="W58" i="1"/>
  <c r="F64" i="1"/>
  <c r="AL60" i="1"/>
  <c r="H60" i="1"/>
  <c r="F126" i="1"/>
  <c r="M8" i="1"/>
  <c r="AU33" i="1"/>
  <c r="Y13" i="1"/>
  <c r="Y17" i="1" s="1"/>
  <c r="H14" i="1"/>
  <c r="H15" i="1"/>
  <c r="AE16" i="1"/>
  <c r="AE17" i="1" s="1"/>
  <c r="H19" i="1"/>
  <c r="H23" i="1" s="1"/>
  <c r="AE19" i="1"/>
  <c r="AE23" i="1" s="1"/>
  <c r="AL19" i="1"/>
  <c r="O20" i="1"/>
  <c r="S20" i="1" s="1"/>
  <c r="Y20" i="1"/>
  <c r="AL25" i="1"/>
  <c r="W26" i="1"/>
  <c r="Y25" i="1"/>
  <c r="Y26" i="1" s="1"/>
  <c r="AL36" i="1"/>
  <c r="H36" i="1"/>
  <c r="AC40" i="1"/>
  <c r="AE36" i="1"/>
  <c r="AE40" i="1" s="1"/>
  <c r="G100" i="1"/>
  <c r="AL44" i="1"/>
  <c r="AN44" i="1" s="1"/>
  <c r="AV46" i="1"/>
  <c r="AL49" i="1"/>
  <c r="AN49" i="1" s="1"/>
  <c r="H49" i="1"/>
  <c r="AL51" i="1"/>
  <c r="AN51" i="1" s="1"/>
  <c r="H51" i="1"/>
  <c r="AC58" i="1"/>
  <c r="K64" i="1"/>
  <c r="W64" i="1"/>
  <c r="AL62" i="1"/>
  <c r="AN62" i="1" s="1"/>
  <c r="H62" i="1"/>
  <c r="Q67" i="1"/>
  <c r="S67" i="1" s="1"/>
  <c r="AH72" i="1"/>
  <c r="AJ70" i="1"/>
  <c r="AJ72" i="1" s="1"/>
  <c r="K76" i="1"/>
  <c r="M74" i="1"/>
  <c r="M76" i="1" s="1"/>
  <c r="Q103" i="1"/>
  <c r="K107" i="1"/>
  <c r="M103" i="1"/>
  <c r="M107" i="1" s="1"/>
  <c r="K117" i="1"/>
  <c r="P113" i="1"/>
  <c r="M113" i="1"/>
  <c r="AL115" i="1"/>
  <c r="AN115" i="1" s="1"/>
  <c r="H115" i="1"/>
  <c r="F46" i="1"/>
  <c r="AL42" i="1"/>
  <c r="H42" i="1"/>
  <c r="X33" i="1"/>
  <c r="AV11" i="1"/>
  <c r="F17" i="1"/>
  <c r="W23" i="1"/>
  <c r="AH23" i="1"/>
  <c r="AM23" i="1"/>
  <c r="AL22" i="1"/>
  <c r="AN22" i="1" s="1"/>
  <c r="AV26" i="1"/>
  <c r="AL28" i="1"/>
  <c r="F32" i="1"/>
  <c r="H28" i="1"/>
  <c r="S32" i="1"/>
  <c r="K40" i="1"/>
  <c r="S42" i="1"/>
  <c r="AK46" i="1"/>
  <c r="K46" i="1"/>
  <c r="M44" i="1"/>
  <c r="Q44" i="1" s="1"/>
  <c r="S44" i="1" s="1"/>
  <c r="AL45" i="1"/>
  <c r="AN45" i="1" s="1"/>
  <c r="H45" i="1"/>
  <c r="AL50" i="1"/>
  <c r="AN50" i="1" s="1"/>
  <c r="AL54" i="1"/>
  <c r="AH58" i="1"/>
  <c r="AJ54" i="1"/>
  <c r="AJ58" i="1" s="1"/>
  <c r="AL56" i="1"/>
  <c r="AN56" i="1" s="1"/>
  <c r="H56" i="1"/>
  <c r="Y64" i="1"/>
  <c r="AV64" i="1"/>
  <c r="AH84" i="1"/>
  <c r="AJ82" i="1"/>
  <c r="AJ84" i="1" s="1"/>
  <c r="O118" i="1"/>
  <c r="Q109" i="1"/>
  <c r="M109" i="1"/>
  <c r="M111" i="1" s="1"/>
  <c r="Y114" i="1"/>
  <c r="AL114" i="1"/>
  <c r="AN114" i="1" s="1"/>
  <c r="F117" i="1"/>
  <c r="AE126" i="1"/>
  <c r="AK129" i="1"/>
  <c r="F136" i="1"/>
  <c r="AL135" i="1"/>
  <c r="H135" i="1"/>
  <c r="H136" i="1" s="1"/>
  <c r="AH26" i="1"/>
  <c r="AJ25" i="1"/>
  <c r="AJ26" i="1" s="1"/>
  <c r="AC46" i="1"/>
  <c r="AE42" i="1"/>
  <c r="AE46" i="1" s="1"/>
  <c r="AN74" i="1"/>
  <c r="AL125" i="1"/>
  <c r="H209" i="7"/>
  <c r="F210" i="7"/>
  <c r="H210" i="7" s="1"/>
  <c r="G74" i="3"/>
  <c r="M19" i="1"/>
  <c r="M23" i="1" s="1"/>
  <c r="Y19" i="1"/>
  <c r="AJ19" i="1"/>
  <c r="AJ23" i="1" s="1"/>
  <c r="M52" i="1"/>
  <c r="P48" i="1"/>
  <c r="K58" i="1"/>
  <c r="M54" i="1"/>
  <c r="AM64" i="1"/>
  <c r="R61" i="1"/>
  <c r="P61" i="1"/>
  <c r="R62" i="1"/>
  <c r="P62" i="1"/>
  <c r="AL63" i="1"/>
  <c r="AN63" i="1" s="1"/>
  <c r="H63" i="1"/>
  <c r="K84" i="1"/>
  <c r="AL90" i="1"/>
  <c r="F92" i="1"/>
  <c r="H90" i="1"/>
  <c r="H92" i="1" s="1"/>
  <c r="AH111" i="1"/>
  <c r="AJ117" i="1"/>
  <c r="AL128" i="1"/>
  <c r="H128" i="1"/>
  <c r="H129" i="1" s="1"/>
  <c r="F129" i="1"/>
  <c r="M145" i="1"/>
  <c r="M149" i="1" s="1"/>
  <c r="K149" i="1"/>
  <c r="W32" i="1"/>
  <c r="AT100" i="1"/>
  <c r="K52" i="1"/>
  <c r="AC52" i="1"/>
  <c r="AH52" i="1"/>
  <c r="W88" i="1"/>
  <c r="Y86" i="1"/>
  <c r="Y88" i="1" s="1"/>
  <c r="AK88" i="1"/>
  <c r="AV99" i="1"/>
  <c r="W111" i="1"/>
  <c r="Y109" i="1"/>
  <c r="Y111" i="1" s="1"/>
  <c r="AC111" i="1"/>
  <c r="AC118" i="1" s="1"/>
  <c r="AH126" i="1"/>
  <c r="AH132" i="1" s="1"/>
  <c r="Y135" i="1"/>
  <c r="Y136" i="1" s="1"/>
  <c r="W136" i="1"/>
  <c r="AN151" i="1"/>
  <c r="H37" i="1"/>
  <c r="O100" i="1"/>
  <c r="AF100" i="1"/>
  <c r="AO100" i="1"/>
  <c r="H43" i="1"/>
  <c r="W46" i="1"/>
  <c r="AH46" i="1"/>
  <c r="Y48" i="1"/>
  <c r="Y52" i="1" s="1"/>
  <c r="AE60" i="1"/>
  <c r="AE64" i="1" s="1"/>
  <c r="M66" i="1"/>
  <c r="M68" i="1" s="1"/>
  <c r="S66" i="1"/>
  <c r="AE66" i="1"/>
  <c r="AE68" i="1" s="1"/>
  <c r="AL66" i="1"/>
  <c r="K72" i="1"/>
  <c r="AL75" i="1"/>
  <c r="AN75" i="1" s="1"/>
  <c r="H75" i="1"/>
  <c r="F76" i="1"/>
  <c r="S76" i="1"/>
  <c r="M84" i="1"/>
  <c r="AL82" i="1"/>
  <c r="Y82" i="1"/>
  <c r="Y84" i="1" s="1"/>
  <c r="AC84" i="1"/>
  <c r="W96" i="1"/>
  <c r="Y94" i="1"/>
  <c r="H98" i="1"/>
  <c r="H99" i="1" s="1"/>
  <c r="Y98" i="1"/>
  <c r="Y99" i="1" s="1"/>
  <c r="AL98" i="1"/>
  <c r="AJ103" i="1"/>
  <c r="Q104" i="1"/>
  <c r="S104" i="1" s="1"/>
  <c r="AL105" i="1"/>
  <c r="AN105" i="1" s="1"/>
  <c r="H105" i="1"/>
  <c r="AO118" i="1"/>
  <c r="AL109" i="1"/>
  <c r="H110" i="1"/>
  <c r="H111" i="1" s="1"/>
  <c r="AH117" i="1"/>
  <c r="P114" i="1"/>
  <c r="S114" i="1" s="1"/>
  <c r="M114" i="1"/>
  <c r="Y116" i="1"/>
  <c r="AR118" i="1"/>
  <c r="Y121" i="1"/>
  <c r="Y126" i="1" s="1"/>
  <c r="O122" i="1"/>
  <c r="S122" i="1" s="1"/>
  <c r="K126" i="1"/>
  <c r="K132" i="1" s="1"/>
  <c r="AC126" i="1"/>
  <c r="AC132" i="1" s="1"/>
  <c r="AI132" i="1"/>
  <c r="Y128" i="1"/>
  <c r="Y129" i="1" s="1"/>
  <c r="AJ128" i="1"/>
  <c r="AJ129" i="1" s="1"/>
  <c r="AV129" i="1"/>
  <c r="M143" i="1"/>
  <c r="AE143" i="1"/>
  <c r="S146" i="1"/>
  <c r="Q149" i="1"/>
  <c r="AC158" i="1"/>
  <c r="AE151" i="1"/>
  <c r="AE158" i="1" s="1"/>
  <c r="M36" i="1"/>
  <c r="AJ36" i="1"/>
  <c r="AJ40" i="1" s="1"/>
  <c r="H39" i="1"/>
  <c r="D100" i="1"/>
  <c r="U100" i="1"/>
  <c r="H44" i="1"/>
  <c r="H54" i="1"/>
  <c r="AE54" i="1"/>
  <c r="AE58" i="1" s="1"/>
  <c r="H57" i="1"/>
  <c r="AL70" i="1"/>
  <c r="H74" i="1"/>
  <c r="AE84" i="1"/>
  <c r="AV84" i="1"/>
  <c r="AL86" i="1"/>
  <c r="M87" i="1"/>
  <c r="M88" i="1" s="1"/>
  <c r="Q92" i="1"/>
  <c r="S92" i="1" s="1"/>
  <c r="F96" i="1"/>
  <c r="AL94" i="1"/>
  <c r="AK96" i="1"/>
  <c r="AL103" i="1"/>
  <c r="Y103" i="1"/>
  <c r="Y107" i="1" s="1"/>
  <c r="AE104" i="1"/>
  <c r="AE107" i="1" s="1"/>
  <c r="Q106" i="1"/>
  <c r="S106" i="1" s="1"/>
  <c r="AI118" i="1"/>
  <c r="AE111" i="1"/>
  <c r="H117" i="1"/>
  <c r="AV117" i="1"/>
  <c r="S121" i="1"/>
  <c r="L132" i="1"/>
  <c r="U132" i="1"/>
  <c r="AV126" i="1"/>
  <c r="O129" i="1"/>
  <c r="S129" i="1" s="1"/>
  <c r="S128" i="1"/>
  <c r="AE130" i="1"/>
  <c r="H138" i="1"/>
  <c r="F143" i="1"/>
  <c r="AH149" i="1"/>
  <c r="AJ148" i="1"/>
  <c r="AJ149" i="1" s="1"/>
  <c r="AJ158" i="1"/>
  <c r="AL140" i="1"/>
  <c r="AN140" i="1" s="1"/>
  <c r="H140" i="1"/>
  <c r="K143" i="1"/>
  <c r="AC143" i="1"/>
  <c r="AE149" i="1"/>
  <c r="R149" i="1"/>
  <c r="S149" i="1"/>
  <c r="AL154" i="1"/>
  <c r="AN154" i="1" s="1"/>
  <c r="P156" i="1"/>
  <c r="M156" i="1"/>
  <c r="D39" i="3"/>
  <c r="F84" i="1"/>
  <c r="F107" i="1"/>
  <c r="F118" i="1" s="1"/>
  <c r="AL139" i="1"/>
  <c r="AN139" i="1" s="1"/>
  <c r="AV143" i="1"/>
  <c r="AL148" i="1"/>
  <c r="AN148" i="1" s="1"/>
  <c r="Y148" i="1"/>
  <c r="Y149" i="1" s="1"/>
  <c r="AC149" i="1"/>
  <c r="M152" i="1"/>
  <c r="Y90" i="1"/>
  <c r="Y92" i="1" s="1"/>
  <c r="H103" i="1"/>
  <c r="AF132" i="1"/>
  <c r="AU132" i="1"/>
  <c r="R143" i="1"/>
  <c r="S143" i="1" s="1"/>
  <c r="S147" i="1"/>
  <c r="F158" i="1"/>
  <c r="H151" i="1"/>
  <c r="S152" i="1"/>
  <c r="D31" i="3"/>
  <c r="F75" i="3"/>
  <c r="AV158" i="1"/>
  <c r="D22" i="2"/>
  <c r="C90" i="3"/>
  <c r="L90" i="3"/>
  <c r="D283" i="4"/>
  <c r="H186" i="6"/>
  <c r="F187" i="6"/>
  <c r="S140" i="1"/>
  <c r="AL146" i="1"/>
  <c r="AL147" i="1"/>
  <c r="AN147" i="1" s="1"/>
  <c r="AL152" i="1"/>
  <c r="AN152" i="1" s="1"/>
  <c r="AL153" i="1"/>
  <c r="AN153" i="1" s="1"/>
  <c r="M155" i="1"/>
  <c r="W158" i="1"/>
  <c r="AH158" i="1"/>
  <c r="F93" i="4"/>
  <c r="H93" i="4" s="1"/>
  <c r="H92" i="4"/>
  <c r="H223" i="4"/>
  <c r="D224" i="4"/>
  <c r="H326" i="4"/>
  <c r="D128" i="3"/>
  <c r="H342" i="4"/>
  <c r="D131" i="3"/>
  <c r="H353" i="4"/>
  <c r="D135" i="3"/>
  <c r="H148" i="1"/>
  <c r="H149" i="1" s="1"/>
  <c r="S148" i="1"/>
  <c r="H154" i="1"/>
  <c r="F44" i="4"/>
  <c r="D74" i="4"/>
  <c r="H71" i="5"/>
  <c r="F75" i="5"/>
  <c r="D89" i="3"/>
  <c r="H125" i="3"/>
  <c r="H126" i="3" s="1"/>
  <c r="F62" i="4"/>
  <c r="H62" i="4" s="1"/>
  <c r="H61" i="4"/>
  <c r="F67" i="4"/>
  <c r="H66" i="4"/>
  <c r="I93" i="4"/>
  <c r="F203" i="4"/>
  <c r="H203" i="4" s="1"/>
  <c r="H196" i="4"/>
  <c r="H208" i="4"/>
  <c r="H195" i="5"/>
  <c r="F199" i="5"/>
  <c r="H199" i="5" s="1"/>
  <c r="H210" i="5"/>
  <c r="D282" i="5"/>
  <c r="H69" i="6"/>
  <c r="D84" i="6"/>
  <c r="D81" i="7"/>
  <c r="H64" i="7"/>
  <c r="H391" i="7"/>
  <c r="F407" i="4"/>
  <c r="H139" i="6"/>
  <c r="F140" i="6"/>
  <c r="H140" i="6" s="1"/>
  <c r="H213" i="6"/>
  <c r="F214" i="6"/>
  <c r="H214" i="6" s="1"/>
  <c r="H370" i="7"/>
  <c r="F371" i="7"/>
  <c r="F24" i="4"/>
  <c r="H24" i="4" s="1"/>
  <c r="H23" i="4"/>
  <c r="H44" i="4"/>
  <c r="F111" i="4"/>
  <c r="H111" i="4" s="1"/>
  <c r="H216" i="4"/>
  <c r="C224" i="4"/>
  <c r="C317" i="4" s="1"/>
  <c r="C408" i="4" s="1"/>
  <c r="C211" i="5"/>
  <c r="H346" i="5"/>
  <c r="H347" i="5" s="1"/>
  <c r="F347" i="5"/>
  <c r="H112" i="6"/>
  <c r="F121" i="6"/>
  <c r="H121" i="6" s="1"/>
  <c r="H332" i="6"/>
  <c r="H127" i="7"/>
  <c r="F137" i="7"/>
  <c r="H137" i="7" s="1"/>
  <c r="D316" i="4"/>
  <c r="F269" i="5"/>
  <c r="H269" i="5" s="1"/>
  <c r="C282" i="5"/>
  <c r="C84" i="6"/>
  <c r="F103" i="6"/>
  <c r="H103" i="6" s="1"/>
  <c r="F175" i="6"/>
  <c r="H175" i="6" s="1"/>
  <c r="F202" i="6"/>
  <c r="H202" i="6" s="1"/>
  <c r="C81" i="7"/>
  <c r="F118" i="7"/>
  <c r="H118" i="7" s="1"/>
  <c r="F154" i="7"/>
  <c r="H154" i="7" s="1"/>
  <c r="F183" i="7"/>
  <c r="H183" i="7" s="1"/>
  <c r="F130" i="4"/>
  <c r="H130" i="4" s="1"/>
  <c r="F147" i="4"/>
  <c r="H147" i="4" s="1"/>
  <c r="F164" i="4"/>
  <c r="H164" i="4" s="1"/>
  <c r="F176" i="4"/>
  <c r="H176" i="4" s="1"/>
  <c r="F191" i="4"/>
  <c r="H191" i="4" s="1"/>
  <c r="F378" i="4"/>
  <c r="F24" i="5"/>
  <c r="H24" i="5" s="1"/>
  <c r="F191" i="5"/>
  <c r="H191" i="5" s="1"/>
  <c r="F248" i="5"/>
  <c r="F276" i="5"/>
  <c r="H276" i="5" s="1"/>
  <c r="F371" i="5"/>
  <c r="H187" i="6"/>
  <c r="D241" i="6"/>
  <c r="F320" i="6"/>
  <c r="H320" i="6" s="1"/>
  <c r="C76" i="5"/>
  <c r="D211" i="5"/>
  <c r="H275" i="5"/>
  <c r="H100" i="7"/>
  <c r="F374" i="6"/>
  <c r="H374" i="6" s="1"/>
  <c r="F405" i="6"/>
  <c r="D325" i="7"/>
  <c r="F268" i="6"/>
  <c r="H268" i="6" s="1"/>
  <c r="F281" i="6"/>
  <c r="H281" i="6" s="1"/>
  <c r="F298" i="6"/>
  <c r="F327" i="6"/>
  <c r="H327" i="6" s="1"/>
  <c r="F22" i="7"/>
  <c r="H22" i="7" s="1"/>
  <c r="H219" i="7"/>
  <c r="F391" i="7"/>
  <c r="L133" i="1" l="1"/>
  <c r="L160" i="1" s="1"/>
  <c r="AM118" i="1"/>
  <c r="H132" i="1"/>
  <c r="AC33" i="1"/>
  <c r="AP33" i="1" s="1"/>
  <c r="H44" i="3"/>
  <c r="I44" i="3" s="1"/>
  <c r="H107" i="1"/>
  <c r="Q68" i="1"/>
  <c r="S68" i="1" s="1"/>
  <c r="AE33" i="1"/>
  <c r="H96" i="3"/>
  <c r="F57" i="3"/>
  <c r="H60" i="3"/>
  <c r="J60" i="3" s="1"/>
  <c r="K60" i="3" s="1"/>
  <c r="F10" i="3"/>
  <c r="H132" i="3"/>
  <c r="J132" i="3" s="1"/>
  <c r="K132" i="3" s="1"/>
  <c r="H143" i="3"/>
  <c r="J143" i="3" s="1"/>
  <c r="K143" i="3" s="1"/>
  <c r="F45" i="3"/>
  <c r="H88" i="3"/>
  <c r="H89" i="3" s="1"/>
  <c r="H144" i="3"/>
  <c r="J144" i="3" s="1"/>
  <c r="K144" i="3" s="1"/>
  <c r="F133" i="3"/>
  <c r="AN143" i="1"/>
  <c r="H59" i="3"/>
  <c r="I59" i="3" s="1"/>
  <c r="I63" i="3" s="1"/>
  <c r="K33" i="1"/>
  <c r="D67" i="3"/>
  <c r="D146" i="3"/>
  <c r="G16" i="3"/>
  <c r="AM100" i="1"/>
  <c r="H9" i="3"/>
  <c r="I9" i="3" s="1"/>
  <c r="H38" i="3"/>
  <c r="I38" i="3" s="1"/>
  <c r="F283" i="4"/>
  <c r="H283" i="4" s="1"/>
  <c r="F97" i="3"/>
  <c r="H115" i="3"/>
  <c r="J115" i="3" s="1"/>
  <c r="F63" i="3"/>
  <c r="AV118" i="1"/>
  <c r="AT133" i="1"/>
  <c r="AT160" i="1" s="1"/>
  <c r="AH118" i="1"/>
  <c r="O13" i="1"/>
  <c r="O17" i="1" s="1"/>
  <c r="S17" i="1" s="1"/>
  <c r="AE132" i="1"/>
  <c r="Y117" i="1"/>
  <c r="X133" i="1"/>
  <c r="X160" i="1" s="1"/>
  <c r="AM33" i="1"/>
  <c r="D71" i="3"/>
  <c r="H405" i="6"/>
  <c r="H142" i="3"/>
  <c r="J142" i="3" s="1"/>
  <c r="K142" i="3" s="1"/>
  <c r="H95" i="3"/>
  <c r="J95" i="3" s="1"/>
  <c r="K95" i="3" s="1"/>
  <c r="H36" i="3"/>
  <c r="J36" i="3" s="1"/>
  <c r="K36" i="3" s="1"/>
  <c r="C326" i="7"/>
  <c r="C392" i="7" s="1"/>
  <c r="E22" i="3"/>
  <c r="H55" i="3"/>
  <c r="J55" i="3" s="1"/>
  <c r="K55" i="3" s="1"/>
  <c r="H35" i="3"/>
  <c r="J35" i="3" s="1"/>
  <c r="E63" i="3"/>
  <c r="E45" i="3"/>
  <c r="E139" i="3"/>
  <c r="H371" i="5"/>
  <c r="E16" i="3"/>
  <c r="H61" i="3"/>
  <c r="I61" i="3" s="1"/>
  <c r="E107" i="3"/>
  <c r="H104" i="3"/>
  <c r="J104" i="3" s="1"/>
  <c r="H73" i="3"/>
  <c r="I73" i="3" s="1"/>
  <c r="E31" i="3"/>
  <c r="D283" i="5"/>
  <c r="D372" i="5" s="1"/>
  <c r="H29" i="3"/>
  <c r="J29" i="3" s="1"/>
  <c r="K29" i="3" s="1"/>
  <c r="J19" i="3"/>
  <c r="K19" i="3" s="1"/>
  <c r="F22" i="3"/>
  <c r="F146" i="3"/>
  <c r="F16" i="3"/>
  <c r="F107" i="3"/>
  <c r="F108" i="3" s="1"/>
  <c r="H100" i="3"/>
  <c r="J100" i="3" s="1"/>
  <c r="K100" i="3" s="1"/>
  <c r="F82" i="3"/>
  <c r="H99" i="3"/>
  <c r="H24" i="3"/>
  <c r="I24" i="3" s="1"/>
  <c r="I25" i="3" s="1"/>
  <c r="H49" i="3"/>
  <c r="J49" i="3" s="1"/>
  <c r="K49" i="3" s="1"/>
  <c r="G75" i="3"/>
  <c r="G51" i="3"/>
  <c r="G63" i="3"/>
  <c r="H84" i="3"/>
  <c r="H86" i="3" s="1"/>
  <c r="F81" i="7"/>
  <c r="H81" i="7" s="1"/>
  <c r="G39" i="3"/>
  <c r="G107" i="3"/>
  <c r="G108" i="3" s="1"/>
  <c r="F293" i="7"/>
  <c r="H293" i="7" s="1"/>
  <c r="H62" i="3"/>
  <c r="J62" i="3" s="1"/>
  <c r="K62" i="3" s="1"/>
  <c r="F325" i="7"/>
  <c r="H56" i="3"/>
  <c r="I56" i="3" s="1"/>
  <c r="H292" i="7"/>
  <c r="H319" i="7"/>
  <c r="H120" i="3"/>
  <c r="J120" i="3" s="1"/>
  <c r="J121" i="3" s="1"/>
  <c r="H138" i="3"/>
  <c r="J138" i="3" s="1"/>
  <c r="K138" i="3" s="1"/>
  <c r="H129" i="3"/>
  <c r="I129" i="3" s="1"/>
  <c r="H137" i="3"/>
  <c r="I137" i="3" s="1"/>
  <c r="F31" i="3"/>
  <c r="F39" i="3"/>
  <c r="H103" i="3"/>
  <c r="J103" i="3" s="1"/>
  <c r="K103" i="3" s="1"/>
  <c r="H37" i="3"/>
  <c r="J37" i="3" s="1"/>
  <c r="K37" i="3" s="1"/>
  <c r="H12" i="3"/>
  <c r="J12" i="3" s="1"/>
  <c r="H30" i="3"/>
  <c r="I30" i="3" s="1"/>
  <c r="H28" i="3"/>
  <c r="E10" i="3"/>
  <c r="E86" i="3"/>
  <c r="H74" i="3"/>
  <c r="I74" i="3" s="1"/>
  <c r="D108" i="3"/>
  <c r="H112" i="3"/>
  <c r="J112" i="3" s="1"/>
  <c r="K112" i="3" s="1"/>
  <c r="D57" i="3"/>
  <c r="J20" i="3"/>
  <c r="K20" i="3" s="1"/>
  <c r="I20" i="3"/>
  <c r="H94" i="3"/>
  <c r="J94" i="3" s="1"/>
  <c r="K94" i="3" s="1"/>
  <c r="F139" i="3"/>
  <c r="H14" i="3"/>
  <c r="I14" i="3" s="1"/>
  <c r="H43" i="3"/>
  <c r="H45" i="3" s="1"/>
  <c r="D22" i="3"/>
  <c r="H106" i="3"/>
  <c r="I106" i="3" s="1"/>
  <c r="H65" i="3"/>
  <c r="I65" i="3" s="1"/>
  <c r="H50" i="3"/>
  <c r="I50" i="3" s="1"/>
  <c r="C123" i="3"/>
  <c r="C147" i="3" s="1"/>
  <c r="H131" i="3"/>
  <c r="J131" i="3" s="1"/>
  <c r="K131" i="3" s="1"/>
  <c r="E97" i="3"/>
  <c r="H80" i="3"/>
  <c r="J80" i="3" s="1"/>
  <c r="H53" i="3"/>
  <c r="I53" i="3" s="1"/>
  <c r="L123" i="3"/>
  <c r="L147" i="3" s="1"/>
  <c r="E101" i="3"/>
  <c r="H93" i="3"/>
  <c r="J93" i="3" s="1"/>
  <c r="K93" i="3" s="1"/>
  <c r="D16" i="3"/>
  <c r="H18" i="3"/>
  <c r="I18" i="3" s="1"/>
  <c r="G31" i="3"/>
  <c r="G139" i="3"/>
  <c r="E39" i="3"/>
  <c r="H282" i="4"/>
  <c r="H13" i="3"/>
  <c r="I13" i="3" s="1"/>
  <c r="H407" i="4"/>
  <c r="H54" i="3"/>
  <c r="I54" i="3" s="1"/>
  <c r="D51" i="3"/>
  <c r="I74" i="4"/>
  <c r="H378" i="4"/>
  <c r="H69" i="3"/>
  <c r="I69" i="3" s="1"/>
  <c r="I71" i="3" s="1"/>
  <c r="D63" i="3"/>
  <c r="G116" i="3"/>
  <c r="G122" i="3" s="1"/>
  <c r="AE118" i="1"/>
  <c r="W33" i="1"/>
  <c r="W133" i="1" s="1"/>
  <c r="W160" i="1" s="1"/>
  <c r="AS133" i="1"/>
  <c r="AS160" i="1" s="1"/>
  <c r="F51" i="3"/>
  <c r="AV132" i="1"/>
  <c r="J44" i="3"/>
  <c r="K44" i="3" s="1"/>
  <c r="AJ132" i="1"/>
  <c r="F33" i="1"/>
  <c r="H337" i="4"/>
  <c r="D130" i="3"/>
  <c r="H130" i="3" s="1"/>
  <c r="G10" i="3"/>
  <c r="F348" i="4"/>
  <c r="H348" i="4" s="1"/>
  <c r="G57" i="3"/>
  <c r="H83" i="6"/>
  <c r="F84" i="6"/>
  <c r="H84" i="6" s="1"/>
  <c r="H21" i="3"/>
  <c r="AL11" i="1"/>
  <c r="AN10" i="1"/>
  <c r="AN11" i="1" s="1"/>
  <c r="H136" i="3"/>
  <c r="Q72" i="1"/>
  <c r="S72" i="1" s="1"/>
  <c r="R23" i="1"/>
  <c r="R33" i="1" s="1"/>
  <c r="H7" i="3"/>
  <c r="Y96" i="1"/>
  <c r="Y100" i="1" s="1"/>
  <c r="H32" i="1"/>
  <c r="G45" i="3"/>
  <c r="G133" i="1"/>
  <c r="G160" i="1" s="1"/>
  <c r="C334" i="6"/>
  <c r="C428" i="6" s="1"/>
  <c r="AH100" i="1"/>
  <c r="W118" i="1"/>
  <c r="H15" i="3"/>
  <c r="AK100" i="1"/>
  <c r="AK133" i="1" s="1"/>
  <c r="H48" i="3"/>
  <c r="H371" i="7"/>
  <c r="H141" i="3"/>
  <c r="J141" i="3" s="1"/>
  <c r="H76" i="1"/>
  <c r="W100" i="1"/>
  <c r="AN17" i="1"/>
  <c r="H70" i="3"/>
  <c r="E146" i="3"/>
  <c r="AJ107" i="1"/>
  <c r="AJ118" i="1" s="1"/>
  <c r="H105" i="3"/>
  <c r="M158" i="1"/>
  <c r="AL17" i="1"/>
  <c r="D122" i="3"/>
  <c r="AH33" i="1"/>
  <c r="F116" i="3"/>
  <c r="F122" i="3" s="1"/>
  <c r="F211" i="5"/>
  <c r="H211" i="5" s="1"/>
  <c r="S21" i="1"/>
  <c r="H47" i="3"/>
  <c r="J47" i="3" s="1"/>
  <c r="AJ33" i="1"/>
  <c r="H72" i="1"/>
  <c r="F299" i="6"/>
  <c r="H299" i="6" s="1"/>
  <c r="F282" i="5"/>
  <c r="H282" i="5" s="1"/>
  <c r="F316" i="4"/>
  <c r="H118" i="3"/>
  <c r="H119" i="3" s="1"/>
  <c r="AN117" i="1"/>
  <c r="AO133" i="1"/>
  <c r="AO160" i="1" s="1"/>
  <c r="S61" i="1"/>
  <c r="H111" i="3"/>
  <c r="E116" i="3"/>
  <c r="E122" i="3" s="1"/>
  <c r="H118" i="1"/>
  <c r="AN158" i="1"/>
  <c r="H17" i="1"/>
  <c r="H68" i="1"/>
  <c r="F100" i="1"/>
  <c r="F241" i="6"/>
  <c r="H241" i="6" s="1"/>
  <c r="H77" i="3"/>
  <c r="J77" i="3" s="1"/>
  <c r="AI133" i="1"/>
  <c r="AI160" i="1" s="1"/>
  <c r="AF133" i="1"/>
  <c r="G67" i="3"/>
  <c r="D334" i="6"/>
  <c r="D317" i="4"/>
  <c r="AL107" i="1"/>
  <c r="AN103" i="1"/>
  <c r="AN107" i="1" s="1"/>
  <c r="AL129" i="1"/>
  <c r="AN128" i="1"/>
  <c r="AN129" i="1" s="1"/>
  <c r="P52" i="1"/>
  <c r="S48" i="1"/>
  <c r="AL58" i="1"/>
  <c r="AN54" i="1"/>
  <c r="AN58" i="1" s="1"/>
  <c r="F235" i="7"/>
  <c r="H235" i="7" s="1"/>
  <c r="S25" i="1"/>
  <c r="P26" i="1"/>
  <c r="AM133" i="1"/>
  <c r="AM160" i="1" s="1"/>
  <c r="D326" i="7"/>
  <c r="F224" i="4"/>
  <c r="H224" i="4" s="1"/>
  <c r="F76" i="5"/>
  <c r="H76" i="5" s="1"/>
  <c r="H75" i="5"/>
  <c r="I132" i="3"/>
  <c r="AL149" i="1"/>
  <c r="AN146" i="1"/>
  <c r="AN149" i="1" s="1"/>
  <c r="F12" i="2"/>
  <c r="F18" i="2" s="1"/>
  <c r="J27" i="3"/>
  <c r="I27" i="3"/>
  <c r="I31" i="3" s="1"/>
  <c r="I32" i="3" s="1"/>
  <c r="H58" i="1"/>
  <c r="AL84" i="1"/>
  <c r="AN82" i="1"/>
  <c r="AN84" i="1" s="1"/>
  <c r="P64" i="1"/>
  <c r="AL76" i="1"/>
  <c r="AR133" i="1"/>
  <c r="AE100" i="1"/>
  <c r="AU133" i="1"/>
  <c r="AU160" i="1" s="1"/>
  <c r="H64" i="1"/>
  <c r="I42" i="3"/>
  <c r="J42" i="3"/>
  <c r="K42" i="3" s="1"/>
  <c r="S156" i="1"/>
  <c r="P158" i="1"/>
  <c r="S103" i="1"/>
  <c r="Q107" i="1"/>
  <c r="C283" i="5"/>
  <c r="C372" i="5" s="1"/>
  <c r="F333" i="6"/>
  <c r="J96" i="3"/>
  <c r="K96" i="3" s="1"/>
  <c r="I96" i="3"/>
  <c r="D139" i="3"/>
  <c r="H135" i="3"/>
  <c r="I66" i="3"/>
  <c r="J66" i="3"/>
  <c r="K66" i="3" s="1"/>
  <c r="H143" i="1"/>
  <c r="AL96" i="1"/>
  <c r="AN94" i="1"/>
  <c r="AN96" i="1" s="1"/>
  <c r="AL88" i="1"/>
  <c r="AN86" i="1"/>
  <c r="AN88" i="1" s="1"/>
  <c r="AL72" i="1"/>
  <c r="AN70" i="1"/>
  <c r="AN72" i="1" s="1"/>
  <c r="Y132" i="1"/>
  <c r="AL117" i="1"/>
  <c r="AN98" i="1"/>
  <c r="AN99" i="1" s="1"/>
  <c r="AL99" i="1"/>
  <c r="R64" i="1"/>
  <c r="R100" i="1" s="1"/>
  <c r="P54" i="1"/>
  <c r="M58" i="1"/>
  <c r="AN76" i="1"/>
  <c r="AN135" i="1"/>
  <c r="AN136" i="1" s="1"/>
  <c r="AL136" i="1"/>
  <c r="AL52" i="1"/>
  <c r="Q46" i="1"/>
  <c r="S46" i="1" s="1"/>
  <c r="K100" i="1"/>
  <c r="AC100" i="1"/>
  <c r="AC133" i="1" s="1"/>
  <c r="AC160" i="1" s="1"/>
  <c r="AL23" i="1"/>
  <c r="AN19" i="1"/>
  <c r="AN23" i="1" s="1"/>
  <c r="F132" i="1"/>
  <c r="AL64" i="1"/>
  <c r="AN60" i="1"/>
  <c r="AN64" i="1" s="1"/>
  <c r="M40" i="1"/>
  <c r="Q36" i="1"/>
  <c r="AN109" i="1"/>
  <c r="AN111" i="1" s="1"/>
  <c r="AL111" i="1"/>
  <c r="AL68" i="1"/>
  <c r="AN66" i="1"/>
  <c r="AN68" i="1" s="1"/>
  <c r="AN125" i="1"/>
  <c r="AN126" i="1" s="1"/>
  <c r="AL126" i="1"/>
  <c r="AN42" i="1"/>
  <c r="AN46" i="1" s="1"/>
  <c r="AL46" i="1"/>
  <c r="P117" i="1"/>
  <c r="S113" i="1"/>
  <c r="AL40" i="1"/>
  <c r="AN36" i="1"/>
  <c r="AN40" i="1" s="1"/>
  <c r="H248" i="5"/>
  <c r="F249" i="5"/>
  <c r="H249" i="5" s="1"/>
  <c r="H298" i="6"/>
  <c r="F74" i="4"/>
  <c r="H74" i="4" s="1"/>
  <c r="H67" i="4"/>
  <c r="J145" i="3"/>
  <c r="K145" i="3" s="1"/>
  <c r="I145" i="3"/>
  <c r="H128" i="3"/>
  <c r="I81" i="3"/>
  <c r="J81" i="3"/>
  <c r="K81" i="3" s="1"/>
  <c r="I41" i="3"/>
  <c r="J41" i="3"/>
  <c r="H158" i="1"/>
  <c r="O126" i="1"/>
  <c r="Y118" i="1"/>
  <c r="AJ100" i="1"/>
  <c r="AL143" i="1"/>
  <c r="AL158" i="1"/>
  <c r="AV100" i="1"/>
  <c r="AL92" i="1"/>
  <c r="AN90" i="1"/>
  <c r="AN92" i="1" s="1"/>
  <c r="S62" i="1"/>
  <c r="Y23" i="1"/>
  <c r="Y33" i="1" s="1"/>
  <c r="Q111" i="1"/>
  <c r="S111" i="1" s="1"/>
  <c r="S109" i="1"/>
  <c r="AN52" i="1"/>
  <c r="AL32" i="1"/>
  <c r="AN28" i="1"/>
  <c r="AN32" i="1" s="1"/>
  <c r="H46" i="1"/>
  <c r="M117" i="1"/>
  <c r="M118" i="1" s="1"/>
  <c r="K118" i="1"/>
  <c r="H52" i="1"/>
  <c r="M46" i="1"/>
  <c r="H40" i="1"/>
  <c r="AL26" i="1"/>
  <c r="AN25" i="1"/>
  <c r="AN26" i="1" s="1"/>
  <c r="O8" i="1"/>
  <c r="M11" i="1"/>
  <c r="M33" i="1" s="1"/>
  <c r="S22" i="1"/>
  <c r="I143" i="3" l="1"/>
  <c r="I60" i="3"/>
  <c r="J38" i="3"/>
  <c r="K38" i="3" s="1"/>
  <c r="I95" i="3"/>
  <c r="I144" i="3"/>
  <c r="I36" i="3"/>
  <c r="J59" i="3"/>
  <c r="K59" i="3" s="1"/>
  <c r="J73" i="3"/>
  <c r="K73" i="3" s="1"/>
  <c r="I120" i="3"/>
  <c r="I121" i="3" s="1"/>
  <c r="H10" i="3"/>
  <c r="J9" i="3"/>
  <c r="K9" i="3" s="1"/>
  <c r="AH133" i="1"/>
  <c r="AH160" i="1" s="1"/>
  <c r="I142" i="3"/>
  <c r="S23" i="1"/>
  <c r="R133" i="1"/>
  <c r="R160" i="1" s="1"/>
  <c r="F22" i="2"/>
  <c r="F32" i="3"/>
  <c r="F326" i="7"/>
  <c r="F392" i="7" s="1"/>
  <c r="D32" i="3"/>
  <c r="AL33" i="1"/>
  <c r="Y133" i="1"/>
  <c r="Y160" i="1" s="1"/>
  <c r="AE133" i="1"/>
  <c r="AE160" i="1" s="1"/>
  <c r="H33" i="1"/>
  <c r="D90" i="3"/>
  <c r="D123" i="3" s="1"/>
  <c r="F90" i="3"/>
  <c r="I55" i="3"/>
  <c r="I57" i="3" s="1"/>
  <c r="I35" i="3"/>
  <c r="I104" i="3"/>
  <c r="J61" i="3"/>
  <c r="K61" i="3" s="1"/>
  <c r="E32" i="3"/>
  <c r="H101" i="3"/>
  <c r="H31" i="3"/>
  <c r="I29" i="3"/>
  <c r="E108" i="3"/>
  <c r="E90" i="3"/>
  <c r="J56" i="3"/>
  <c r="K56" i="3" s="1"/>
  <c r="J24" i="3"/>
  <c r="K24" i="3" s="1"/>
  <c r="I49" i="3"/>
  <c r="J99" i="3"/>
  <c r="K99" i="3" s="1"/>
  <c r="I138" i="3"/>
  <c r="I99" i="3"/>
  <c r="H25" i="3"/>
  <c r="J137" i="3"/>
  <c r="K137" i="3" s="1"/>
  <c r="I100" i="3"/>
  <c r="J53" i="3"/>
  <c r="K53" i="3" s="1"/>
  <c r="H63" i="3"/>
  <c r="H75" i="3"/>
  <c r="J129" i="3"/>
  <c r="K129" i="3" s="1"/>
  <c r="H325" i="7"/>
  <c r="J74" i="3"/>
  <c r="K74" i="3" s="1"/>
  <c r="I131" i="3"/>
  <c r="K120" i="3"/>
  <c r="K121" i="3" s="1"/>
  <c r="I12" i="3"/>
  <c r="J65" i="3"/>
  <c r="K65" i="3" s="1"/>
  <c r="I62" i="3"/>
  <c r="G90" i="3"/>
  <c r="I103" i="3"/>
  <c r="H121" i="3"/>
  <c r="I37" i="3"/>
  <c r="J30" i="3"/>
  <c r="K30" i="3" s="1"/>
  <c r="H39" i="3"/>
  <c r="H57" i="3"/>
  <c r="J50" i="3"/>
  <c r="K50" i="3" s="1"/>
  <c r="J54" i="3"/>
  <c r="K54" i="3" s="1"/>
  <c r="J106" i="3"/>
  <c r="K106" i="3" s="1"/>
  <c r="J13" i="3"/>
  <c r="K13" i="3" s="1"/>
  <c r="I80" i="3"/>
  <c r="I82" i="3" s="1"/>
  <c r="I90" i="3" s="1"/>
  <c r="H82" i="3"/>
  <c r="J28" i="3"/>
  <c r="K28" i="3" s="1"/>
  <c r="I28" i="3"/>
  <c r="F317" i="4"/>
  <c r="F408" i="4" s="1"/>
  <c r="J43" i="3"/>
  <c r="K43" i="3" s="1"/>
  <c r="J18" i="3"/>
  <c r="K18" i="3" s="1"/>
  <c r="I43" i="3"/>
  <c r="I45" i="3" s="1"/>
  <c r="J118" i="3"/>
  <c r="K118" i="3" s="1"/>
  <c r="K119" i="3" s="1"/>
  <c r="H107" i="3"/>
  <c r="I112" i="3"/>
  <c r="H67" i="3"/>
  <c r="H16" i="3"/>
  <c r="I93" i="3"/>
  <c r="J69" i="3"/>
  <c r="H97" i="3"/>
  <c r="J14" i="3"/>
  <c r="K14" i="3" s="1"/>
  <c r="H22" i="3"/>
  <c r="I94" i="3"/>
  <c r="G32" i="3"/>
  <c r="H316" i="4"/>
  <c r="I77" i="3"/>
  <c r="I78" i="3" s="1"/>
  <c r="H78" i="3"/>
  <c r="I118" i="3"/>
  <c r="I119" i="3" s="1"/>
  <c r="I70" i="3"/>
  <c r="J70" i="3"/>
  <c r="K70" i="3" s="1"/>
  <c r="D133" i="3"/>
  <c r="I111" i="3"/>
  <c r="J111" i="3"/>
  <c r="I141" i="3"/>
  <c r="I7" i="3"/>
  <c r="H146" i="3"/>
  <c r="I146" i="3" s="1"/>
  <c r="H100" i="1"/>
  <c r="H133" i="1" s="1"/>
  <c r="H160" i="1" s="1"/>
  <c r="J130" i="3"/>
  <c r="K130" i="3" s="1"/>
  <c r="I130" i="3"/>
  <c r="F133" i="1"/>
  <c r="F160" i="1" s="1"/>
  <c r="J7" i="3"/>
  <c r="K7" i="3" s="1"/>
  <c r="AN118" i="1"/>
  <c r="AN33" i="1"/>
  <c r="I47" i="3"/>
  <c r="I15" i="3"/>
  <c r="J15" i="3"/>
  <c r="K15" i="3" s="1"/>
  <c r="J136" i="3"/>
  <c r="K136" i="3" s="1"/>
  <c r="I136" i="3"/>
  <c r="H71" i="3"/>
  <c r="AL100" i="1"/>
  <c r="I48" i="3"/>
  <c r="J48" i="3"/>
  <c r="K48" i="3" s="1"/>
  <c r="H51" i="3"/>
  <c r="AL132" i="1"/>
  <c r="J105" i="3"/>
  <c r="K105" i="3" s="1"/>
  <c r="I105" i="3"/>
  <c r="AJ133" i="1"/>
  <c r="AJ160" i="1" s="1"/>
  <c r="J97" i="3"/>
  <c r="K97" i="3" s="1"/>
  <c r="AN132" i="1"/>
  <c r="K133" i="1"/>
  <c r="K160" i="1" s="1"/>
  <c r="H116" i="3"/>
  <c r="J21" i="3"/>
  <c r="K21" i="3" s="1"/>
  <c r="I21" i="3"/>
  <c r="I22" i="3" s="1"/>
  <c r="S36" i="1"/>
  <c r="Q40" i="1"/>
  <c r="P58" i="1"/>
  <c r="S58" i="1" s="1"/>
  <c r="S54" i="1"/>
  <c r="S158" i="1"/>
  <c r="AV133" i="1"/>
  <c r="AR160" i="1"/>
  <c r="AV160" i="1" s="1"/>
  <c r="H317" i="4"/>
  <c r="D408" i="4"/>
  <c r="H408" i="4" s="1"/>
  <c r="S8" i="1"/>
  <c r="O11" i="1"/>
  <c r="S126" i="1"/>
  <c r="O132" i="1"/>
  <c r="S132" i="1" s="1"/>
  <c r="Q118" i="1"/>
  <c r="S107" i="1"/>
  <c r="K35" i="3"/>
  <c r="P33" i="1"/>
  <c r="S26" i="1"/>
  <c r="D428" i="6"/>
  <c r="H326" i="7"/>
  <c r="D392" i="7"/>
  <c r="H392" i="7" s="1"/>
  <c r="K104" i="3"/>
  <c r="S117" i="1"/>
  <c r="P118" i="1"/>
  <c r="J128" i="3"/>
  <c r="H133" i="3"/>
  <c r="I128" i="3"/>
  <c r="AN100" i="1"/>
  <c r="J78" i="3"/>
  <c r="K78" i="3" s="1"/>
  <c r="K77" i="3"/>
  <c r="S64" i="1"/>
  <c r="I75" i="3"/>
  <c r="F334" i="6"/>
  <c r="F428" i="6" s="1"/>
  <c r="H333" i="6"/>
  <c r="K47" i="3"/>
  <c r="K41" i="3"/>
  <c r="M100" i="1"/>
  <c r="M133" i="1" s="1"/>
  <c r="M160" i="1" s="1"/>
  <c r="J135" i="3"/>
  <c r="H139" i="3"/>
  <c r="I139" i="3" s="1"/>
  <c r="I135" i="3"/>
  <c r="J146" i="3"/>
  <c r="K141" i="3"/>
  <c r="K27" i="3"/>
  <c r="K12" i="3"/>
  <c r="I67" i="3"/>
  <c r="J82" i="3"/>
  <c r="K80" i="3"/>
  <c r="S52" i="1"/>
  <c r="AL118" i="1"/>
  <c r="F283" i="5"/>
  <c r="AN133" i="1" l="1"/>
  <c r="AN160" i="1" s="1"/>
  <c r="S118" i="1"/>
  <c r="J39" i="3"/>
  <c r="K39" i="3" s="1"/>
  <c r="F123" i="3"/>
  <c r="F147" i="3" s="1"/>
  <c r="H148" i="3" s="1"/>
  <c r="J148" i="3" s="1"/>
  <c r="AL133" i="1"/>
  <c r="AL160" i="1" s="1"/>
  <c r="H12" i="2"/>
  <c r="H18" i="2" s="1"/>
  <c r="H22" i="2" s="1"/>
  <c r="J12" i="2" s="1"/>
  <c r="D147" i="3"/>
  <c r="G123" i="3"/>
  <c r="G147" i="3" s="1"/>
  <c r="I39" i="3"/>
  <c r="I101" i="3"/>
  <c r="E123" i="3"/>
  <c r="E147" i="3" s="1"/>
  <c r="J101" i="3"/>
  <c r="K101" i="3" s="1"/>
  <c r="J67" i="3"/>
  <c r="K67" i="3" s="1"/>
  <c r="J63" i="3"/>
  <c r="K63" i="3" s="1"/>
  <c r="J25" i="3"/>
  <c r="K25" i="3" s="1"/>
  <c r="I107" i="3"/>
  <c r="I16" i="3"/>
  <c r="J75" i="3"/>
  <c r="K75" i="3" s="1"/>
  <c r="J71" i="3"/>
  <c r="K71" i="3" s="1"/>
  <c r="H122" i="3"/>
  <c r="H32" i="3"/>
  <c r="J57" i="3"/>
  <c r="K57" i="3" s="1"/>
  <c r="J45" i="3"/>
  <c r="K45" i="3" s="1"/>
  <c r="J119" i="3"/>
  <c r="H108" i="3"/>
  <c r="I97" i="3"/>
  <c r="I116" i="3"/>
  <c r="I122" i="3" s="1"/>
  <c r="J31" i="3"/>
  <c r="K31" i="3" s="1"/>
  <c r="H90" i="3"/>
  <c r="K69" i="3"/>
  <c r="J22" i="3"/>
  <c r="K22" i="3" s="1"/>
  <c r="J16" i="3"/>
  <c r="K16" i="3" s="1"/>
  <c r="J10" i="3"/>
  <c r="K10" i="3" s="1"/>
  <c r="J116" i="3"/>
  <c r="K116" i="3" s="1"/>
  <c r="K122" i="3" s="1"/>
  <c r="K111" i="3"/>
  <c r="J107" i="3"/>
  <c r="I51" i="3"/>
  <c r="P100" i="1"/>
  <c r="J51" i="3"/>
  <c r="K51" i="3" s="1"/>
  <c r="I133" i="3"/>
  <c r="O33" i="1"/>
  <c r="O133" i="1" s="1"/>
  <c r="O160" i="1" s="1"/>
  <c r="S11" i="1"/>
  <c r="S33" i="1" s="1"/>
  <c r="K82" i="3"/>
  <c r="K135" i="3"/>
  <c r="J139" i="3"/>
  <c r="K139" i="3" s="1"/>
  <c r="H428" i="6"/>
  <c r="Q100" i="1"/>
  <c r="Q133" i="1" s="1"/>
  <c r="Q160" i="1" s="1"/>
  <c r="S40" i="1"/>
  <c r="K146" i="3"/>
  <c r="J133" i="3"/>
  <c r="K128" i="3"/>
  <c r="K133" i="3" s="1"/>
  <c r="K107" i="3"/>
  <c r="H334" i="6"/>
  <c r="P133" i="1"/>
  <c r="P160" i="1" s="1"/>
  <c r="F372" i="5"/>
  <c r="H283" i="5"/>
  <c r="S100" i="1" l="1"/>
  <c r="J108" i="3"/>
  <c r="K108" i="3" s="1"/>
  <c r="H372" i="5"/>
  <c r="I108" i="3"/>
  <c r="H123" i="3"/>
  <c r="I123" i="3" s="1"/>
  <c r="J32" i="3"/>
  <c r="K32" i="3" s="1"/>
  <c r="J122" i="3"/>
  <c r="J90" i="3"/>
  <c r="K90" i="3" s="1"/>
  <c r="S133" i="1"/>
  <c r="S160" i="1"/>
  <c r="H147" i="3" l="1"/>
  <c r="I147" i="3" s="1"/>
  <c r="J123" i="3"/>
  <c r="K123" i="3" s="1"/>
  <c r="J147" i="3" l="1"/>
  <c r="K14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O17" authorId="0" shapeId="0" xr:uid="{00000000-0006-0000-0000-000001000000}">
      <text>
        <r>
          <rPr>
            <sz val="10"/>
            <rFont val="Arial"/>
            <family val="2"/>
          </rPr>
          <t xml:space="preserve"> </t>
        </r>
      </text>
    </comment>
    <comment ref="AO61" authorId="0" shapeId="0" xr:uid="{00000000-0006-0000-0000-000002000000}">
      <text>
        <r>
          <rPr>
            <sz val="10"/>
            <rFont val="Arial"/>
            <family val="2"/>
          </rPr>
          <t xml:space="preserve">SUBASH:
</t>
        </r>
        <r>
          <rPr>
            <sz val="9"/>
            <color rgb="FF000000"/>
            <rFont val="Tahoma"/>
            <family val="2"/>
            <charset val="1"/>
          </rPr>
          <t>It was by mistake and now I revised it.</t>
        </r>
      </text>
    </comment>
    <comment ref="AO66" authorId="0" shapeId="0" xr:uid="{00000000-0006-0000-0000-000003000000}">
      <text>
        <r>
          <rPr>
            <sz val="10"/>
            <rFont val="Arial"/>
            <family val="2"/>
          </rPr>
          <t xml:space="preserve">SUBASH:
</t>
        </r>
        <r>
          <rPr>
            <sz val="9"/>
            <color rgb="FF000000"/>
            <rFont val="Tahoma"/>
            <family val="2"/>
            <charset val="1"/>
          </rPr>
          <t>These farmers are daily labour type they do daily work and feed their families for this reason at least we will pay 1 day wage only  that charges we have budgeted. They may do freely but in our cocern we decided to pay them that nothing may disrupt in the running of the project work.</t>
        </r>
      </text>
    </comment>
    <comment ref="AN121" authorId="0" shapeId="0" xr:uid="{00000000-0006-0000-0000-000004000000}">
      <text>
        <r>
          <rPr>
            <sz val="10"/>
            <rFont val="Arial"/>
            <family val="2"/>
          </rPr>
          <t xml:space="preserve">SUBASH:
</t>
        </r>
        <r>
          <rPr>
            <sz val="9"/>
            <color rgb="FF000000"/>
            <rFont val="Tahoma"/>
            <family val="2"/>
            <charset val="1"/>
          </rPr>
          <t>staff capacity building program will be conducted at TFSSL Ofice at Thakurmunda as the professional resource person will be hired from far place like Bhubaneswar, Sambalpur or from Berhampur and Kolkata so his expenses are budgeted more. And he will be giving training on communicating skills, proper data collection, approaching to the beneficiaries, facing and tracking the day today life challenges in the project work in effective way and handle it and do the work properly.</t>
        </r>
      </text>
    </comment>
    <comment ref="AN124" authorId="0" shapeId="0" xr:uid="{00000000-0006-0000-0000-000005000000}">
      <text>
        <r>
          <rPr>
            <sz val="10"/>
            <rFont val="Arial"/>
            <family val="2"/>
          </rPr>
          <t xml:space="preserve">SUBASH:
</t>
        </r>
        <r>
          <rPr>
            <sz val="9"/>
            <color rgb="FF000000"/>
            <rFont val="Tahoma"/>
            <family val="2"/>
            <charset val="1"/>
          </rPr>
          <t xml:space="preserve">we will be doing exposure visit to lamtaput koraput.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Mukul Harishchandra</author>
  </authors>
  <commentList>
    <comment ref="D10" authorId="0" shapeId="0" xr:uid="{8816D9A9-EBCD-4081-9BBF-B5A9181B419C}">
      <text>
        <r>
          <rPr>
            <b/>
            <sz val="9"/>
            <color indexed="81"/>
            <rFont val="Tahoma"/>
            <family val="2"/>
          </rPr>
          <t>Mukul Harishchandra:</t>
        </r>
        <r>
          <rPr>
            <sz val="9"/>
            <color indexed="81"/>
            <rFont val="Tahoma"/>
            <family val="2"/>
          </rPr>
          <t xml:space="preserve">
I have added this cell as per the Summary Sheet. </t>
        </r>
      </text>
    </comment>
  </commentList>
</comments>
</file>

<file path=xl/sharedStrings.xml><?xml version="1.0" encoding="utf-8"?>
<sst xmlns="http://schemas.openxmlformats.org/spreadsheetml/2006/main" count="2641" uniqueCount="924">
  <si>
    <t>Partner: DAPTA (Development Agency for Poor and Tribal Awakening)</t>
  </si>
  <si>
    <t>Project Title: Ensuring food and livelihood security of indigenous and other marginalized communities(MCC) in Thakurmunda Block, Mayurbhanj, Odisha</t>
  </si>
  <si>
    <t>Project Location (District/State: Thakurmunda Block, Odisha</t>
  </si>
  <si>
    <t xml:space="preserve"> </t>
  </si>
  <si>
    <t>Proposed project period: 1 June 2023 to 31 March 2026</t>
  </si>
  <si>
    <r>
      <rPr>
        <b/>
        <sz val="10"/>
        <color rgb="FF000000"/>
        <rFont val="Times New Roman"/>
        <family val="1"/>
        <charset val="1"/>
      </rPr>
      <t xml:space="preserve">PROJECT  START  DATE   </t>
    </r>
    <r>
      <rPr>
        <b/>
        <sz val="10"/>
        <color rgb="FFFF0000"/>
        <rFont val="Times New Roman"/>
        <family val="1"/>
        <charset val="1"/>
      </rPr>
      <t>1 JUNE -2023</t>
    </r>
    <r>
      <rPr>
        <b/>
        <sz val="10"/>
        <color rgb="FF000000"/>
        <rFont val="Times New Roman"/>
        <family val="1"/>
        <charset val="1"/>
      </rPr>
      <t xml:space="preserve">             END DATE 31 MARCH -2026</t>
    </r>
  </si>
  <si>
    <t>ID</t>
  </si>
  <si>
    <t>Proposed Budget</t>
  </si>
  <si>
    <t>Unit description</t>
  </si>
  <si>
    <t>Year-1-2023-24</t>
  </si>
  <si>
    <t>Revised Year-1 Budget (2023-24) (for 10 months)</t>
  </si>
  <si>
    <t>Year-1 budget Break-up</t>
  </si>
  <si>
    <t>Year-2-2024-25 (Initial Budget)</t>
  </si>
  <si>
    <t>Approved Revised Year-2 Budget (2024-25)</t>
  </si>
  <si>
    <t>Year-3 2025-26</t>
  </si>
  <si>
    <t>Total of 3 years: 2023-2026</t>
  </si>
  <si>
    <t>MCC comments (4 Jan 2023)</t>
  </si>
  <si>
    <t>Remarks</t>
  </si>
  <si>
    <t xml:space="preserve">Quarter-wise bifurcation of Year-2 MCC Budget </t>
  </si>
  <si>
    <t>Price per unit</t>
  </si>
  <si>
    <t>Year- 1 unit quantity</t>
  </si>
  <si>
    <t>Year-1 MCC Contribution</t>
  </si>
  <si>
    <t>Year-1 Partner or others' contribution</t>
  </si>
  <si>
    <t>Year- 1
Total Budgeted Amount</t>
  </si>
  <si>
    <t>Revised Unit Quantity</t>
  </si>
  <si>
    <t>Revised Unit Price</t>
  </si>
  <si>
    <t>MCC Revised Contribution Yr-1</t>
  </si>
  <si>
    <t>Participants' contribution</t>
  </si>
  <si>
    <t>Total Revised Budget Yr-1</t>
  </si>
  <si>
    <t>1st Qtr. (June 23)</t>
  </si>
  <si>
    <t xml:space="preserve">2nd Qtr. </t>
  </si>
  <si>
    <t xml:space="preserve">3rd Qtr. </t>
  </si>
  <si>
    <t xml:space="preserve">4th Qtr. </t>
  </si>
  <si>
    <t>Total</t>
  </si>
  <si>
    <t>Year 2 unit quantity</t>
  </si>
  <si>
    <t>Year-2 MCC Contribution</t>
  </si>
  <si>
    <t>Year-2 Partner or others' contribution</t>
  </si>
  <si>
    <t>Year- 2 Total Budgeted Amount</t>
  </si>
  <si>
    <t>Revised Unit price</t>
  </si>
  <si>
    <t>Revised Unit quantity</t>
  </si>
  <si>
    <t>MCC Revised Contribution Yr-2</t>
  </si>
  <si>
    <t>Participants'/ others contribution</t>
  </si>
  <si>
    <t>Total Revised Budget Yr-2</t>
  </si>
  <si>
    <t>Year 3 unit quantity</t>
  </si>
  <si>
    <t>Year-3 MCC Contribution</t>
  </si>
  <si>
    <t>Year-3 Partner or others' contribution</t>
  </si>
  <si>
    <t>Year 3 Total Budgeted Amount</t>
  </si>
  <si>
    <t>Total Proposed Quantity of 3 years</t>
  </si>
  <si>
    <t>Total MCC Contribution</t>
  </si>
  <si>
    <t>Total Partner or others' contribution</t>
  </si>
  <si>
    <t>Total Budget of Project Period</t>
  </si>
  <si>
    <t>Qtr-1 (Apr-Jun 2024)</t>
  </si>
  <si>
    <t>Qtr-2 (Jul-Sept 2024)</t>
  </si>
  <si>
    <t>Qtr-3 (Oct-Dec 2024)</t>
  </si>
  <si>
    <t>Qtr-4 (Jan-Mar 2025)</t>
  </si>
  <si>
    <t>Total MCC Budget 2024-25</t>
  </si>
  <si>
    <t>Outcome :1  Activities</t>
  </si>
  <si>
    <t>For Amy Martens: Changes made are in blue font. Justification in change in uniti price in Year 1,2 &amp; 3 can be seen as per the calculation shown under Column B.</t>
  </si>
  <si>
    <t>Baseline</t>
  </si>
  <si>
    <t xml:space="preserve">Monthly PRA/ Data collection/  Village Community Meeting </t>
  </si>
  <si>
    <t>1.2.1</t>
  </si>
  <si>
    <t>Monthly  Village Community Meeting (Biscuits / Snacks /per time /12 Months) @Rs.15 x 437  + 6 staff  =Rs.6660/-</t>
  </si>
  <si>
    <t>Resource person</t>
  </si>
  <si>
    <t xml:space="preserve"> Activities Sub Total 1.2</t>
  </si>
  <si>
    <t xml:space="preserve">Training on Improved agriculture methods and Technology :-
a) SRI (Paddy farming in row) b) Multi cropping c) Crop diversification d) Crop rotation e) Azola growing f) Seed preservation g) Seed treatment
</t>
  </si>
  <si>
    <t>1.3.1</t>
  </si>
  <si>
    <t>Honorarium , travelling &amp; food  for resource person @Rs.2000 (above mentioned some subject will be conducted by the Project staff)</t>
  </si>
  <si>
    <t>Mukul: Will the RP be called only once out of 4 Trainings and other trainings will be taken over by project staff?  RAJU : Yes</t>
  </si>
  <si>
    <t>1.3.2</t>
  </si>
  <si>
    <t>Food for 20 participants &amp; 6 staff @ Rs.120 x  26 Person</t>
  </si>
  <si>
    <t>Fooding</t>
  </si>
  <si>
    <t>Rectified the calculation</t>
  </si>
  <si>
    <t>1.3.3</t>
  </si>
  <si>
    <t>Project village to training venue Transportation charges 20 participants x 1  Project villages @ Rs.2500/-; 2 vehicles</t>
  </si>
  <si>
    <t>Travelling</t>
  </si>
  <si>
    <t xml:space="preserve">We have calculated @Rs2500 as per budget description, 2 vehicles per training.                  </t>
  </si>
  <si>
    <t>1.3.4</t>
  </si>
  <si>
    <t>Arrangements &amp; training matterials @ Rs.500/-</t>
  </si>
  <si>
    <t>matterials</t>
  </si>
  <si>
    <t xml:space="preserve"> Activities Sub Total 1.3</t>
  </si>
  <si>
    <t xml:space="preserve">Training on Natural Resource Management
a) Soil health ( Testing, treatment and preservation) b) Organic farming (Chemical free) c) Compost pit &amp; its preparation  d) Vermin compost making  e) Bio- Pesticide  f) Bio- fertilizer    
</t>
  </si>
  <si>
    <t>1.4.1</t>
  </si>
  <si>
    <t xml:space="preserve">Honorarium, travelling &amp; food  for resource person @Rs.2000 </t>
  </si>
  <si>
    <t>1.4.2</t>
  </si>
  <si>
    <t>Food for 35 participants form 7 project located villages each village 5 participants  &amp; 6 staff @ Rs.120 x  41 Person =Rs.3360</t>
  </si>
  <si>
    <t>1.4.3</t>
  </si>
  <si>
    <t>Project village to training venue transportation charges Rs.7500/- each village 5 participants x 7  Project villges 3 vehicles for 2 trainings</t>
  </si>
  <si>
    <t>We have calculated @Rs2500 as per budget description, 3 vehicles per training</t>
  </si>
  <si>
    <t>1.4.4</t>
  </si>
  <si>
    <t>Activities Sub Total 1.4</t>
  </si>
  <si>
    <t>Pulses Seeds (Horse gram &amp; Black gram) distribution</t>
  </si>
  <si>
    <t>1.5.1</t>
  </si>
  <si>
    <t>Pulses Seeds Distribution  for 437 families Black Gram 2kg, Kulthi 2kg @Rs.360/- for 4 Kg x 437 families (Contribution Local labor charges@500 x 437 families)</t>
  </si>
  <si>
    <t>Activities Sub Total 1.5</t>
  </si>
  <si>
    <t>Exposure visit on adaption of improved new technology</t>
  </si>
  <si>
    <t>1.6.1</t>
  </si>
  <si>
    <t xml:space="preserve">Honorarium  for resource person @Rs.2000 </t>
  </si>
  <si>
    <t xml:space="preserve">Why Honorarium is required for Exposure visit? </t>
  </si>
  <si>
    <r>
      <rPr>
        <sz val="10"/>
        <rFont val="Times New Roman"/>
        <family val="1"/>
        <charset val="1"/>
      </rPr>
      <t xml:space="preserve">Exposure visit excluded due to shortage of fund. </t>
    </r>
    <r>
      <rPr>
        <u/>
        <sz val="10"/>
        <rFont val="Times New Roman"/>
        <family val="1"/>
        <charset val="1"/>
      </rPr>
      <t>MUKUL: It has been included in additional budget in Year-1</t>
    </r>
  </si>
  <si>
    <t>1.6.2</t>
  </si>
  <si>
    <t xml:space="preserve">Food for 35 participants &amp; 6 staff @ Rs.200 x 41 Person x 1 day = 8400/-  </t>
  </si>
  <si>
    <t>1.6.3</t>
  </si>
  <si>
    <t>Bus charges @ Rs.25000/- in Year -1 @ Rs. 26000/- x 2 bus in Year-2 and for Long distance place Exposure Visit in  Yr-3 Bus Charges @Rs.35000/-</t>
  </si>
  <si>
    <t>1.6.4</t>
  </si>
  <si>
    <t>First Aid medicine &amp; other expenses  @ Rs.500/-  and Rs.1000/-</t>
  </si>
  <si>
    <t>Activities Sub Total 1.6</t>
  </si>
  <si>
    <t>Activities Sub Total for Outcomes :1</t>
  </si>
  <si>
    <t>Activities for Outcome :2</t>
  </si>
  <si>
    <t xml:space="preserve">Training to the CBO’s (SHG) on topics  a) Account book keeping, b) Record maintaining,  c) Rules and Regulations,                                                      d) Responsibilities of the group leaders and members. 
e) Training on loan taking and refunding. f) Sack bag potatoes farming  g) tuber crop farming
i) Encourage to farming of Millet ( Mandia)
</t>
  </si>
  <si>
    <t>2.1.1</t>
  </si>
  <si>
    <t xml:space="preserve">Honorarium , Travelling &amp; food  for Resource person @Rs.2000 </t>
  </si>
  <si>
    <t>2.1.2</t>
  </si>
  <si>
    <t>Food for 35 participants form 7 project located villages each village 5 participants  &amp; 6 staff @ Rs.120 x  42 Person =Rs.3360</t>
  </si>
  <si>
    <t>2.1.3</t>
  </si>
  <si>
    <t xml:space="preserve">Project village to training venue transportation charges Rs.2500/- each village 5 participants x 7  Project villages, 2 vehicles </t>
  </si>
  <si>
    <t xml:space="preserve">We have calculated @Rs2500 as per budget description 2 vehicles per training.     </t>
  </si>
  <si>
    <t>2.1.4</t>
  </si>
  <si>
    <t>Arrangements &amp; training materials @ Rs.500/-</t>
  </si>
  <si>
    <t>Activities Sub Total 2.1</t>
  </si>
  <si>
    <t xml:space="preserve">Trainings on Alternate Livelihood Options:  Poultry &amp; Goat Rearing 
</t>
  </si>
  <si>
    <t>2.2.1</t>
  </si>
  <si>
    <t xml:space="preserve">Honorarium , travelling &amp; food  for resource person @Rs.2500 </t>
  </si>
  <si>
    <t>2.2.2</t>
  </si>
  <si>
    <t>Food for 35 participants form 7 project located villages each village 5 participants  &amp;6 staff @ Rs.120 x  41 Person =Rs.3360</t>
  </si>
  <si>
    <t>2.2.3</t>
  </si>
  <si>
    <t>Project village to training venue transportation  charges @Rs.2500/- 2 vehicles</t>
  </si>
  <si>
    <t xml:space="preserve">We have calculated @Rs2500 as per budget description, 2 vehicles per training.   </t>
  </si>
  <si>
    <t>2.2.4</t>
  </si>
  <si>
    <t>Activities Sub Total 2.2</t>
  </si>
  <si>
    <t>Training on primary treatments and Vaccination for the domestic animals</t>
  </si>
  <si>
    <t>2.3.1</t>
  </si>
  <si>
    <t>fruits saplling</t>
  </si>
  <si>
    <t>2.3.2</t>
  </si>
  <si>
    <t>Food for  21 participants form 7 project located villages each village 3 participants  &amp; 6 staff @ Rs.120 x  21 Person =Rs.1680/-</t>
  </si>
  <si>
    <t>elephants potatos</t>
  </si>
  <si>
    <t>2.3.3</t>
  </si>
  <si>
    <t>Project village to training venue transportation charges Rs.2500/- each village 2 participants x 7  Project villages 2 vehicles</t>
  </si>
  <si>
    <t>Ginger</t>
  </si>
  <si>
    <t xml:space="preserve">We have calculated @Rs2500 as per budget description, 2 vehicles per training.    </t>
  </si>
  <si>
    <t>2.3.4</t>
  </si>
  <si>
    <t>Pulses</t>
  </si>
  <si>
    <t>Activities Sub Total 2.3</t>
  </si>
  <si>
    <t>Need based training on Income Generation activity like fish cultivation</t>
  </si>
  <si>
    <t>2.4.1</t>
  </si>
  <si>
    <t>2.4.2</t>
  </si>
  <si>
    <t xml:space="preserve">Food for 35 participants &amp; 6 staff @ Rs.120 x  41 Person </t>
  </si>
  <si>
    <t>2.4.3</t>
  </si>
  <si>
    <t>Project village to training venue transportation charges Rs.2500/- 2 vehicles</t>
  </si>
  <si>
    <t>2.4.4</t>
  </si>
  <si>
    <t>Activities Sub Total 2.4</t>
  </si>
  <si>
    <t xml:space="preserve">Training on Nutritional Kitchen garden and commercial vegetable gardening    a) Fruits  b) Vegetable                                                                     
</t>
  </si>
  <si>
    <t>2.5.1</t>
  </si>
  <si>
    <t>Resource person travelling and honorarium charges for Year-1 only and then Project staff will  conduct it</t>
  </si>
  <si>
    <t>2.5.2</t>
  </si>
  <si>
    <t xml:space="preserve">Food for 35 participants form 7 project located villages each village 5 participants  &amp; 6 staff @ Rs.120 x  41 Person </t>
  </si>
  <si>
    <t>Price per unit in year 2 &amp; 3 is much higher than in year 1. Why is this the case?</t>
  </si>
  <si>
    <t>2.5.3</t>
  </si>
  <si>
    <t xml:space="preserve">Project village to training venue transportaion charges Rs.2500, 2 Vehicles x2 trainings </t>
  </si>
  <si>
    <t xml:space="preserve">We have calculated @Rs2500 as per budget description for 2 vehicles per training.     </t>
  </si>
  <si>
    <t>2.5.4</t>
  </si>
  <si>
    <t>Arrangements &amp; training matterials @ Rs.500/- Year-3 @Rs.400/-</t>
  </si>
  <si>
    <t>medicenes</t>
  </si>
  <si>
    <t>Activities Sub Total 2.5</t>
  </si>
  <si>
    <t xml:space="preserve"> Vaccination and medication to the domestic animals</t>
  </si>
  <si>
    <t>2.6.1</t>
  </si>
  <si>
    <t>Vet visit 6 times in a year @ 1200 per visit</t>
  </si>
  <si>
    <t xml:space="preserve">I could not understand this. 14 persons will be trained out of project participants? And they will charge to provide services of vaccination &amp; medication?  </t>
  </si>
  <si>
    <t>2.6.2</t>
  </si>
  <si>
    <t>Vaccination &amp; medication to  the domestic animals medicens avarage expenses each hhs @ 200/-  x 437, twice in a year</t>
  </si>
  <si>
    <t xml:space="preserve">RAJU: Govt. has no provision, so we have to purchase </t>
  </si>
  <si>
    <t>Activities Sub Total 2.6</t>
  </si>
  <si>
    <t>Distribution of goats</t>
  </si>
  <si>
    <t>2.7.1</t>
  </si>
  <si>
    <t>Goat distribution @Rs.4500 x 62 No. of farmers (each farmer 1 goat) from 7  Targeted villages (Contribution by participants for goats shed making @Rs.2000 x 62 families)</t>
  </si>
  <si>
    <t>2.7.2</t>
  </si>
  <si>
    <t>Goats transpotation cost @ Rs.5250/-</t>
  </si>
  <si>
    <t>Activities Sub Total 2.7</t>
  </si>
  <si>
    <t>Distribution of ginger to the SHGs for cultivation</t>
  </si>
  <si>
    <r>
      <rPr>
        <strike/>
        <sz val="10"/>
        <color rgb="FF000000"/>
        <rFont val="Times New Roman"/>
        <family val="1"/>
        <charset val="1"/>
      </rPr>
      <t xml:space="preserve">Ginger distribution to the 7 SHGs in Year-1 &amp; </t>
    </r>
    <r>
      <rPr>
        <strike/>
        <sz val="10"/>
        <color theme="4"/>
        <rFont val="Times New Roman"/>
        <family val="1"/>
        <charset val="1"/>
      </rPr>
      <t xml:space="preserve">18 SHGs in Year -2 </t>
    </r>
    <r>
      <rPr>
        <strike/>
        <sz val="10"/>
        <color rgb="FF000000"/>
        <rFont val="Times New Roman"/>
        <family val="1"/>
        <charset val="1"/>
      </rPr>
      <t xml:space="preserve">for doing of cultivation @ Rs.120 x 50 kg x 7 SHGs = Rs.42000/- </t>
    </r>
    <r>
      <rPr>
        <strike/>
        <sz val="10"/>
        <color theme="4"/>
        <rFont val="Times New Roman"/>
        <family val="1"/>
        <charset val="1"/>
      </rPr>
      <t>&amp; 18 SHGs in = 108000/-</t>
    </r>
    <r>
      <rPr>
        <strike/>
        <sz val="10"/>
        <color rgb="FF000000"/>
        <rFont val="Times New Roman"/>
        <family val="1"/>
        <charset val="1"/>
      </rPr>
      <t xml:space="preserve"> ( SHGs contribution fencing and labor charges Rs.21000)</t>
    </r>
  </si>
  <si>
    <t>The budget for distribution of Ginger  has excluded from the budget as it is not feasible in the area.</t>
  </si>
  <si>
    <r>
      <rPr>
        <strike/>
        <sz val="10"/>
        <color rgb="FF000000"/>
        <rFont val="Times New Roman"/>
        <family val="1"/>
        <charset val="1"/>
      </rPr>
      <t>Ginger purchasing and transpotation cost @ 1000/</t>
    </r>
    <r>
      <rPr>
        <strike/>
        <sz val="10"/>
        <color theme="4"/>
        <rFont val="Times New Roman"/>
        <family val="1"/>
        <charset val="1"/>
      </rPr>
      <t>- Year-1  &amp; Year-2 @ Rs. 4800/-</t>
    </r>
  </si>
  <si>
    <t>Activities Sub Total 2.8</t>
  </si>
  <si>
    <t>Training on Minor Millet  farming</t>
  </si>
  <si>
    <t>2.8.1</t>
  </si>
  <si>
    <t>2.8.2</t>
  </si>
  <si>
    <t>2.8.3</t>
  </si>
  <si>
    <t xml:space="preserve">Project village to training venue transportaion charges Rs.2500, 2 Vehicles </t>
  </si>
  <si>
    <t>2.8.4</t>
  </si>
  <si>
    <t>Arrangements &amp; training matterials @ Rs.50</t>
  </si>
  <si>
    <t>Millet  (Mandia) seeds distribution to the 20 farmers for doing of cultivation @ Rs.50 x 1.5 kg x 30 farmer ( Contribution fencing and labor charges Rs.200 x 30 = Rs.6000)</t>
  </si>
  <si>
    <t>Millet (Mandia) transpotation cost @ 1500/-</t>
  </si>
  <si>
    <t>Distribution of small Petty business materials</t>
  </si>
  <si>
    <t>2.9.1</t>
  </si>
  <si>
    <t>Selected people will be distributed the business materials as per their choice</t>
  </si>
  <si>
    <t>2.10.2</t>
  </si>
  <si>
    <t>Matterials purchasing and transpotation cost @Rs.2000/-</t>
  </si>
  <si>
    <t>Activities Sub Total 2.10</t>
  </si>
  <si>
    <t>Vegetable seeds distribution for Kitchen gardening</t>
  </si>
  <si>
    <t>2.10.1</t>
  </si>
  <si>
    <t>Vegetable Seeds support (Contribution  fencing and  labor charges @250 x 437 families)</t>
  </si>
  <si>
    <t>Seeds transpotation cost @ 1000/-</t>
  </si>
  <si>
    <t>Transpotration</t>
  </si>
  <si>
    <t>Distribution of earthen pot for micro water harvest and use it in the kitchen garden</t>
  </si>
  <si>
    <t>2.11.1</t>
  </si>
  <si>
    <t>Promote 437 hh to do homestead kitchen garden and  will be provided a mud water pot for harvesting of west water @ Rs 120 (437 hh contribute their own labor &amp; fencing it for making kitchen garden @ Rs.250 x 1 days x 437 hh = Rs109250/-</t>
  </si>
  <si>
    <t>Due to adjustment in Budget we have deducted the cost of mud pot</t>
  </si>
  <si>
    <t>2.11.2</t>
  </si>
  <si>
    <t>Mud pot purchasing and transpotation cost @ Rs.3000/-</t>
  </si>
  <si>
    <t>Activities Sub Total 2.11</t>
  </si>
  <si>
    <t>Distribution of fish seeds for fish Cultivation</t>
  </si>
  <si>
    <t>2.12.1</t>
  </si>
  <si>
    <t>Fish seeds distribution to pond holder farmers for doing of  fish cultivation @ Rs.2000/- x 35 person = Rs.70000/-</t>
  </si>
  <si>
    <t>Activities Sub Total 2.12</t>
  </si>
  <si>
    <t>Activities Sub Total for Outcomes :2</t>
  </si>
  <si>
    <t>Activities for Outcome :3</t>
  </si>
  <si>
    <t xml:space="preserve">Training of on Govt. programs, Schemes related to food, livelihood and social security schemes etc.
</t>
  </si>
  <si>
    <t>3.1.1</t>
  </si>
  <si>
    <t xml:space="preserve">Honorarium , travel &amp; food  for resource person @Rs.2500 </t>
  </si>
  <si>
    <t>3.1.2</t>
  </si>
  <si>
    <t xml:space="preserve">Food for 35  participants </t>
  </si>
  <si>
    <t>3.1.3</t>
  </si>
  <si>
    <t xml:space="preserve">Project village to transportaion charges Rs.2500/- each village 5 participants and 6 staff, 3 vehicles </t>
  </si>
  <si>
    <t>3 vehicles per trianing</t>
  </si>
  <si>
    <t>3.1.4</t>
  </si>
  <si>
    <t>Arrangements &amp; training matterials @ Rs.1000/-</t>
  </si>
  <si>
    <t>Activities Sub Total 3.1</t>
  </si>
  <si>
    <t>Liaisioning with government offices</t>
  </si>
  <si>
    <t>3.2.1</t>
  </si>
  <si>
    <t xml:space="preserve">Transportation and food cost of community leaders to follow up on Lift Irrigation schemes </t>
  </si>
  <si>
    <t>3.2.2</t>
  </si>
  <si>
    <t>Documents and other expenses</t>
  </si>
  <si>
    <t>Activities Sub Total 3.2</t>
  </si>
  <si>
    <t xml:space="preserve">Training and capacity building of CBOs members on Agriculture and NTFP value chains </t>
  </si>
  <si>
    <t>3.3.1</t>
  </si>
  <si>
    <t xml:space="preserve">Honorarium, travel &amp; food  for resource person @Rs.2000 </t>
  </si>
  <si>
    <t>3.3.2</t>
  </si>
  <si>
    <t>Food for 35 participants form 7 project located villages each village 5 participants &amp; 6 staff @ Rs.80 x  41 Person =Rs.3360</t>
  </si>
  <si>
    <t>3.3.3</t>
  </si>
  <si>
    <t>Project village to training venue transportation cost Rs.2500 for 2 vehicles</t>
  </si>
  <si>
    <t>We have calculated @Rs2500 as per budget description, 2 vehicles per training.</t>
  </si>
  <si>
    <t>3.3.4</t>
  </si>
  <si>
    <t>Training materials @50 per participant</t>
  </si>
  <si>
    <t>Activities Sub Total 3.3</t>
  </si>
  <si>
    <t>Activities Sub Total for Outcomes :3</t>
  </si>
  <si>
    <t>Staff Capacity building Activities : 4</t>
  </si>
  <si>
    <t>Staff Capacity building on Leadership and thematic trainings</t>
  </si>
  <si>
    <t>4.1.1</t>
  </si>
  <si>
    <t xml:space="preserve">Honorarium, travel &amp; food  for resource person </t>
  </si>
  <si>
    <t xml:space="preserve">Where will this training be arranged and for how many days? Resource person and project staff both will tarvel? Please check and make corrections according to need.  </t>
  </si>
  <si>
    <t>4.1.2</t>
  </si>
  <si>
    <t xml:space="preserve"> Staff food cost @ Rs.200 x  06 Person x 2 days</t>
  </si>
  <si>
    <t xml:space="preserve">Staff Exposure visit </t>
  </si>
  <si>
    <t>4.2.1</t>
  </si>
  <si>
    <t>4.2.2</t>
  </si>
  <si>
    <t>Food and accomodation @ Rs.1000/- x 6 staff</t>
  </si>
  <si>
    <t>calculation rectified</t>
  </si>
  <si>
    <t>Activities  Sub Total 4.2</t>
  </si>
  <si>
    <t xml:space="preserve">Monthly Staff Review and Planning meeting </t>
  </si>
  <si>
    <t>4.3.1</t>
  </si>
  <si>
    <t xml:space="preserve"> Staff fooding @ Rs.120 x  06 staff  x 1 time in a month </t>
  </si>
  <si>
    <t>Calculaton rectified.</t>
  </si>
  <si>
    <t>Activities Sub Total 4.2</t>
  </si>
  <si>
    <t>MCC Partner's gathering travel &amp; food expenses (lumpsum)</t>
  </si>
  <si>
    <t>Added for travel expenses and food during travel for staff for MCC partners' gathering</t>
  </si>
  <si>
    <t>Sub total 4.4</t>
  </si>
  <si>
    <t>Activities Sub Total for Staff Capacity building : 4</t>
  </si>
  <si>
    <t>Total Activities Cost  (1 ,2, 3 &amp; 4)</t>
  </si>
  <si>
    <t>Project Evaluation</t>
  </si>
  <si>
    <t xml:space="preserve">End of Project Evaluation </t>
  </si>
  <si>
    <t>Evaluation</t>
  </si>
  <si>
    <t>Project Evaluation Cost -5</t>
  </si>
  <si>
    <t>PROJECT SALARY COSTS - (Including EPFO and Insurance)</t>
  </si>
  <si>
    <t>Field Coordinator @Rs.25000 x per month for 10 months. Every Year Salary will be increased in 5%</t>
  </si>
  <si>
    <t>Months</t>
  </si>
  <si>
    <t>Salry calculated as per 1st year + 5 % increment. RAJU: increment of staffs in the second year.</t>
  </si>
  <si>
    <t>Assistant Field Co-ordinator (@Rs.20000 x per month for 10 months) Every Year Salary will be increased in 5%</t>
  </si>
  <si>
    <t>Salry calculated as per 1st year + 5 % increment. RAJU:  increment of staffs in the second year.</t>
  </si>
  <si>
    <t>Social Mobiliser @Rs.12000 per month. 4 nos. for 10 months. Every Year Salary will be increased in 5%</t>
  </si>
  <si>
    <t>Salary calculated as per 1st year + 5 % increment.                   MUKUL: At present only 3 Mobilizers are working in actual. If you need 4 mobilizers then keep the budget like this otherwise, budget only for 3 Mobilizers. RAJU: We will not include Rev Digal in the second year but we will appoint another community mobiliser in his place.</t>
  </si>
  <si>
    <t>Accountant @20000 (Part time 50% time) for 12 months</t>
  </si>
  <si>
    <t>Salary of Accountant was not in the budget of 2nd year  and it has added with 5% increment.</t>
  </si>
  <si>
    <t>Project Director Hohorarium(@Rs.8000/- per month for 10% of his time for this project)</t>
  </si>
  <si>
    <t>Proposed honorarium of Project Director @ Rs 8000 per month for his time  devoted for monitoring of program.10% of his official time ( 20 Hours pm in an average )</t>
  </si>
  <si>
    <t>TOTAL SALARY COSTS - 6</t>
  </si>
  <si>
    <t>Transportation Costs -7</t>
  </si>
  <si>
    <t>Project Director Monitoring cost @ 15000 per month - 6 visits</t>
  </si>
  <si>
    <t>Field Coordinator's fuel charges &amp; Travel,Food for the project work &amp; field visit @Rs.2400/- per month &amp; every year will be increased Rs.100/-(Office Travel Quarterly)</t>
  </si>
  <si>
    <t>Travel cost rectified as per increment Rs 100/-</t>
  </si>
  <si>
    <t>Assistant Field Co-ordinator fuel charges for project work &amp; field visit @ Rs.2400/- per month &amp; every year will be increased Rs.100/-(Office Travel Quarterly)</t>
  </si>
  <si>
    <t>Social Mobilizer Travel @ Rs.1500/- x 4 person per month &amp; every year will be increased Rs.100/-</t>
  </si>
  <si>
    <t xml:space="preserve">Travel cost rectified as per increment Rs 100/-.                    </t>
  </si>
  <si>
    <t>Total Transportation Costs- 7</t>
  </si>
  <si>
    <t>ADMINISTRATIVE COSTS- 8</t>
  </si>
  <si>
    <t>Field office Rental charges @ Rs.8500 x per month ( Including electicity charges) for 10 months</t>
  </si>
  <si>
    <t>office Rental</t>
  </si>
  <si>
    <t>RAJU: The office Rent at Thakurmunda is Rs 10,000/- out of  which Rs 8,500 per month budgeted from MCC while Rs 1500 will be from the Coordinator who is staying in the  office.</t>
  </si>
  <si>
    <t>Office Supplies and Stationary (File, Xerox, Internet &amp; Telephone, postal etc.) @ Rs.2000 x per month</t>
  </si>
  <si>
    <t>office materials</t>
  </si>
  <si>
    <t>Quick heal Anti virus for office Lap top once @ 1500/-</t>
  </si>
  <si>
    <t xml:space="preserve">Mantainance </t>
  </si>
  <si>
    <t>Annual Audit fees @ Rs.12000/-</t>
  </si>
  <si>
    <t>Audit fees</t>
  </si>
  <si>
    <t>Project Bike mantainance Yearly once @ 8000/-</t>
  </si>
  <si>
    <t>Mentainance</t>
  </si>
  <si>
    <t>Printer cum Scanner &amp; accessories</t>
  </si>
  <si>
    <t>Equipment</t>
  </si>
  <si>
    <t>Office furniture</t>
  </si>
  <si>
    <t>TOTAL ADMINISTRATIVE COSTS-8</t>
  </si>
  <si>
    <t>TOTAL EXPENDITURES</t>
  </si>
  <si>
    <t>Project Title: Ensuring food and livelihood security of indigenous and other marginalized communities in Thakurmunda Block, Mayurbhanj, Odisha</t>
  </si>
  <si>
    <t xml:space="preserve"> Accounting  Period From 01. April-2024  to  31.March 2025</t>
  </si>
  <si>
    <t>Project Partner: DAPTA (Development Agency for Poor and Tribal Awakening)</t>
  </si>
  <si>
    <t>Contact person</t>
  </si>
  <si>
    <t>Aadarsh Bharat Mishra Sharma ( +91 94370 29124)</t>
  </si>
  <si>
    <t xml:space="preserve">E-mail ID </t>
  </si>
  <si>
    <t>dapta@rediffmail.com</t>
  </si>
  <si>
    <t>Summery sheet of Project Grant &amp; Expenses in Year-2- 2024-25</t>
  </si>
  <si>
    <t xml:space="preserve"> Total Approved Budget in 2024-25</t>
  </si>
  <si>
    <t>TOTAL</t>
  </si>
  <si>
    <t>MCC Share in budget for 2024-25</t>
  </si>
  <si>
    <t>Cash in hand from 2024-25</t>
  </si>
  <si>
    <t>Balance in bank (minimum bal to be maintained,not to be used for project)</t>
  </si>
  <si>
    <t>1st  Qtr</t>
  </si>
  <si>
    <t>2nd Qtr</t>
  </si>
  <si>
    <t>3rd Qtr.</t>
  </si>
  <si>
    <t>4th Qtr.</t>
  </si>
  <si>
    <t>Total Brought Forward</t>
  </si>
  <si>
    <t>→</t>
  </si>
  <si>
    <t>MCC Grant Received</t>
  </si>
  <si>
    <t xml:space="preserve">Bank Interest earned </t>
  </si>
  <si>
    <t>Total Available</t>
  </si>
  <si>
    <t>Grant utilization</t>
  </si>
  <si>
    <t xml:space="preserve">Balance  available </t>
  </si>
  <si>
    <t xml:space="preserve"> Accounting  Period From 01. April 2024 to 31.March 2025</t>
  </si>
  <si>
    <t>Description</t>
  </si>
  <si>
    <t>Year-2</t>
  </si>
  <si>
    <t>1st  Qtr Exp.</t>
  </si>
  <si>
    <t>2nd Qtr Exp.</t>
  </si>
  <si>
    <t>3rd Qtr Exp.</t>
  </si>
  <si>
    <t>4th Qtr Exp.</t>
  </si>
  <si>
    <t>TOTAL Expenses</t>
  </si>
  <si>
    <t>EXPENSES %</t>
  </si>
  <si>
    <t>UNSPENT BUDGET balance</t>
  </si>
  <si>
    <t>UNSPENT %</t>
  </si>
  <si>
    <t>Explanation for significant variance (&lt; or &gt;10%)</t>
  </si>
  <si>
    <t xml:space="preserve">Approved MCC Budget </t>
  </si>
  <si>
    <t>Pulses Seeds Distribution  for 437 families Black Gram 1kg, Kulthi 1kg @Rs.212.86/- for 2 Kg x 437 families (Contribution Local labor charges@500 x 437 families)</t>
  </si>
  <si>
    <t>4.2.</t>
  </si>
  <si>
    <t>Activities  Sub Total 4.1, 4.2</t>
  </si>
  <si>
    <t>Activities  Sub Total 4.3</t>
  </si>
  <si>
    <t>4.4.</t>
  </si>
  <si>
    <t>Activities  Sub Total 4.4</t>
  </si>
  <si>
    <t>Accountant @20000 (Part time 50% time) for 10 months</t>
  </si>
  <si>
    <t>Project Director Monitoring cost @ 15000 per month - 8 visits</t>
  </si>
  <si>
    <t>Quarterly/Monthly Reporting Format</t>
  </si>
  <si>
    <t>Ensuring food and livelihood security of indigenous and other marginalized communities in Thakurmunda Block, Mayurbhanj, Odisha</t>
  </si>
  <si>
    <t>Accounting Period:</t>
  </si>
  <si>
    <t>Start: 1 April 2024</t>
  </si>
  <si>
    <t>End: 30 June 2024</t>
  </si>
  <si>
    <t>Date: Grant received on</t>
  </si>
  <si>
    <t>02.05.2024</t>
  </si>
  <si>
    <t>Total Annual MCC Budget:</t>
  </si>
  <si>
    <t>Rs. 26,75,000/-</t>
  </si>
  <si>
    <t>Cash in Bank</t>
  </si>
  <si>
    <t>Total Balance available on 1. April 2024</t>
  </si>
  <si>
    <t>Grant Received from MCC for Qtr-1 2024-25:</t>
  </si>
  <si>
    <t>NOTE: Please add more rows if needed but make sure that the value is added to the fomula</t>
  </si>
  <si>
    <t xml:space="preserve">Total Balance available </t>
  </si>
  <si>
    <t>Budget ID</t>
  </si>
  <si>
    <t>Vendor/Expense Description</t>
  </si>
  <si>
    <t>MCC Approved budget-Yr-2</t>
  </si>
  <si>
    <t>Quarterly
Budgeted Amount Qtr-1  2024</t>
  </si>
  <si>
    <t>Date</t>
  </si>
  <si>
    <t>Expense Amt</t>
  </si>
  <si>
    <t>Voucher or receipt number</t>
  </si>
  <si>
    <t>Budgeted Amt less 
Expense Amount</t>
  </si>
  <si>
    <t>Partner / Farmer Contribution</t>
  </si>
  <si>
    <t>Total 1.1</t>
  </si>
  <si>
    <t>Being the amount paid to Jyotshnarani Pradhan prop. of New Family Bazar,Thakurmunda through NEFT Chq. No.046885 towards purchased of Biscuits for participants of 06nos Monthly village community Meeting month of  April-2024. Vide Bill No.89 dtd. 04.04.2024</t>
  </si>
  <si>
    <t>09.05.2024</t>
  </si>
  <si>
    <t>P.V No. 07</t>
  </si>
  <si>
    <t>Being the amount paid to Jyotshnarani Pradhan prop. of New Family Bazar,Thakurmunda through NEFT Chq. No.046897 towards purchased of Biscuits for participants of 06nos Monthly village community Meeting month of  May-2024. Vide Bill No.157 dtd.15.05.2024</t>
  </si>
  <si>
    <t>11.06.2024</t>
  </si>
  <si>
    <t>P.V No. 28</t>
  </si>
  <si>
    <t>Being the amount paid to Jyotshnarani Pradhan prop. of New Family Bazar,Thakurmunda through NEFT Chq. No.046907 towards purchased of Biscuits for participants of 06nos Monthly village community Meeting month of June-2024. Vide Bill No.124 dtd.04.06.2024</t>
  </si>
  <si>
    <t>29.06.2024</t>
  </si>
  <si>
    <t>P.V No. 42</t>
  </si>
  <si>
    <t xml:space="preserve">Total 1.2.1
</t>
  </si>
  <si>
    <t>Being the amount paid to Jagannath Sahu through NEFT Chq. No.046890 towards  Resouce person honorarium with travel for Training on improved agriculture methods and Technology. on dtd.24.05.2024 held at.DAPTA Office ,Thakurmunda.</t>
  </si>
  <si>
    <t>31.05.2024</t>
  </si>
  <si>
    <t>P.V No.18</t>
  </si>
  <si>
    <t>Being the amount paid to Narayan Barik  Prop. Of  Hotel Swagatika through  NEFT Chq. No.046891 towards supply of Food for RP  on Training on improved agriculture methods and Technology. on dtd.24.05.2024 held at.DAPTA Office ,Thakurmunda. Vide Bill No.1581 dtd.24.05.2024</t>
  </si>
  <si>
    <t>P.v No. 24</t>
  </si>
  <si>
    <t>Total 1.3.1</t>
  </si>
  <si>
    <t>Being the amount paid to Narayan Barik Prop. Of  Hotel Swagatika through NEFT Chq. No.046891 towards supply of Food for Participants on Training on Improved agriculture methods and Technology on dtd.24.05.24. Vide bill  No.1582 dtd.24.05.2024</t>
  </si>
  <si>
    <t>P.V No.22</t>
  </si>
  <si>
    <t>Total 1.3.2</t>
  </si>
  <si>
    <t>Being the amount paid to Ramasingh Badra,Prop. of Badra Tour &amp; Travel through NEFT Chq. No.046890 towards hiring of 2no of vehicle for participants  transportation  on Training on Improved agriculture methods and Technology  on dtd.24.05.24 held at.DAPTA,Thakurmunda Vide Bill No.92, 93 dtd.24.05.2024</t>
  </si>
  <si>
    <t>P.V. No.20</t>
  </si>
  <si>
    <t>Total 1.3.3</t>
  </si>
  <si>
    <t>Being the amount paid to Baigyanik Mohanta, Prop. of Gayatree Book Store through NEFT Chq. No.046891 towards Training Materials for Participants on Training on Improved agriculture methods and Technology  on dtd.24.05.24 held at.DAPTA,Thakurmunda Vide Bill No.219 dtd.24.05.2024</t>
  </si>
  <si>
    <t>P.V No.23</t>
  </si>
  <si>
    <t xml:space="preserve">Total 1.3.4
</t>
  </si>
  <si>
    <t>Being the amount paid to Narayan Barik  Prop. Of Hotel Swagatikathrough NEFT Chq. no.046887 towards resource person food  cost  for Training on natural resouce managment dtd.10.05.24  held at. DAPTA Office, Thakurmunda. Vide Bill No.1564 dtd.10.05.2024</t>
  </si>
  <si>
    <t>17.05.2024</t>
  </si>
  <si>
    <t>P.V No.13</t>
  </si>
  <si>
    <t>Being the amount paid to Jagannath Sahu through NEFT Chq. No.046888 towards  Resouce person honorarium with travel forTraining on Natural Resource Management dtd.10.05.24 held at.DAPTA Office ,Thakurmunda.</t>
  </si>
  <si>
    <t>p.v No.15</t>
  </si>
  <si>
    <t>Total 1.4.1</t>
  </si>
  <si>
    <t>Being the amount paid to Narayan Barik, Prop of. Hotel Swagatika through NEFT Chq. No.04687 towards supply of food for participants on  Training on Natural Resource Management dtd.10.05.2024 held at. DAPTA Office, Thakurmunda. Vide Bill No.1562 dtd.10.05.2024</t>
  </si>
  <si>
    <t>P.V. No.10</t>
  </si>
  <si>
    <t>Total 1.4.2</t>
  </si>
  <si>
    <t>Being the amount paid to Ramasingh Badra  Prop. of  Badra Tour &amp; Travels through NEFT Chq. No.046887 towards hiring of 2no of vehicle for transportation participants on  Training on Natural Resource Management dtd.10.05.2024 held at. DAPTA Office, Thakurmunda. Vide Bill No.62,63 dtd.10.05.2024</t>
  </si>
  <si>
    <t>P.V No.17</t>
  </si>
  <si>
    <t>Total 1.4.3</t>
  </si>
  <si>
    <t>Being the amount paid to Baigyanik Mohanta prop. Of Gayatree Book store  through NEFT Chq. No.04687 towards purchased of trng materials  on , Trng on natural resource management dtd.10.05.24. Vide Bill No.231 dtd.09.05.2024.</t>
  </si>
  <si>
    <t>P.V No.11</t>
  </si>
  <si>
    <t>Total 1.4.4</t>
  </si>
  <si>
    <t>Total 1.5.1</t>
  </si>
  <si>
    <t>Being the amount paid to Ratikanta Mishra through NEFT Chq. no.046887 towards resource person honorarium with Travel cost  for Training to the CBOs on dtd.14.05.24 held at. DAPTA office, Thakurmunda.</t>
  </si>
  <si>
    <t>P.V No.12</t>
  </si>
  <si>
    <t>Being the amount paid to Narayan Barik, Prop. Of Hotel Swagatika through NEFT Chq. no.046887 towards resource person food  cost  for Training to the CBOs on dtd.14.05.24 held at. DAPTA office, Thakurmunda. Vide Bill No.1572 dtd.14.05.2024</t>
  </si>
  <si>
    <t>Total 2.1.1</t>
  </si>
  <si>
    <t>Being the amount paid to Narayan Barik, Prop of. Hotel Swagatika through NEFT Chq. No.04687 towards supply of food for participants on Training to the CBOs  on dtd.14.05.24 held at. DAPTA Office, Thakurmunda vide Bill No.1566 dtd.14.05.2024</t>
  </si>
  <si>
    <t>P.V No.10</t>
  </si>
  <si>
    <t>Total 2.1.2</t>
  </si>
  <si>
    <t>Being the amount paid to Ramasingh Badra  Prop. of  Badra Tour &amp; Travels through NEFT Chq. No.046887 towards hiring of 2no of vehicle for transportation participants on Training to the CBO’s (SHG) on topicson dtd. 14.05.24 Held at. DAPTA Office, Thakurmunda. Vide Bill No. 70, 71 dtd.17.05.2024</t>
  </si>
  <si>
    <t>Total 2.1.3</t>
  </si>
  <si>
    <t>Being the amount paid to Baigyanik Mohanta prop. Of Gayatree Book store  through NEFT Chq. No.04687 towards purchased of Training to the CBO’s (SHG)  dtd.14.05.24. Vide Bill No.211 dtd.13.05.2024</t>
  </si>
  <si>
    <t>P.V No. 11</t>
  </si>
  <si>
    <t xml:space="preserve">Total 2.1.4
</t>
  </si>
  <si>
    <t>Total 2.2.1</t>
  </si>
  <si>
    <t>Total 2.2.2</t>
  </si>
  <si>
    <t>Total 2.2.3</t>
  </si>
  <si>
    <t>Total 2.2.4</t>
  </si>
  <si>
    <t>Total 2.3.1</t>
  </si>
  <si>
    <t>Total 2.3.2</t>
  </si>
  <si>
    <t>Total 2.3.3</t>
  </si>
  <si>
    <t>Total 2.3.4</t>
  </si>
  <si>
    <t>Being the amount paid to Narayan Barik Prop. Of Hotel Swagatika through NEFT Chq. No.046891 towards supply of Food for  R.P  on Training on Income Generation Fish Cultivation dtd.27.06.24 held at. Thakurmunda DAPTA Office. Vide Bill No.1593 dtd.27.06.2024</t>
  </si>
  <si>
    <t>P.V No.37</t>
  </si>
  <si>
    <t>Being the amount paid to Dillip Kumar Jena,RP through NEFT Chq. No.046907 towards Resource person Honorarium &amp; Travel cost on Need Based Training on Income Generation activities like Fish Cultivation  on dtd.27.06.2024 held at, DAPTA office,Thakurmunda</t>
  </si>
  <si>
    <t>P.v No.39</t>
  </si>
  <si>
    <t>Total 2.4.1</t>
  </si>
  <si>
    <t>Being the amount paid to Narayan Barik Prop. Of Hotel Swagatika through NEFT Chq. No.046891 towards supply of Food for  Perticipants  on Training on Income Generation Fish Cultivation dtd.27.0624 held at. Thakurmunda DAPTA Office. Vide Bill No. 1591 dtd.27.06.2024</t>
  </si>
  <si>
    <t>Total 2.4.2</t>
  </si>
  <si>
    <t>Total 2.4.3</t>
  </si>
  <si>
    <t>Being the amount paid to Baigyanik Mohanta Prop. of Gayatree Book store through NEFT Chq. No.046906 towards Purchased of  Training Materials for Participants on Need Based Training on Income Generation activities like Fish Cultivation  on dtd.27.06.2024 held at, DAPTA office,Thakurmunda.vide Bill no.239 dtd.26.06.2024.</t>
  </si>
  <si>
    <t>P.V No.38</t>
  </si>
  <si>
    <t xml:space="preserve">Total 2.4.4
</t>
  </si>
  <si>
    <t>Total 2.5.1</t>
  </si>
  <si>
    <t>Being the amount paid to Narayan Barik Prop. Of  Hotel Swagatika through NEFT Chq. No.046891 towards supply of Food for Participants on Training on Nutritional Kitchen garden and commercial vegetable on dtd.17.05.24. Vide bill  No.1576 dtd.17.05.2024</t>
  </si>
  <si>
    <t>P.V. No.22</t>
  </si>
  <si>
    <t>Total 2.5.2</t>
  </si>
  <si>
    <t>Being the amount paid to Ramasingh Badra Prop. of Badra Tour &amp; travel through NEFT Chq. No.046890 towards hiring of 2no of vehicle for transportation  onTraining on Nutritional Kitchen garden and commercial vegetable gardeningdtd.on dtd.17.05.24 held at.DAPTA,Thakurnunda.Vide Bill No.78,79 dtd.17.05.2024.</t>
  </si>
  <si>
    <t xml:space="preserve">31.05.2024  </t>
  </si>
  <si>
    <t>P.V No.20</t>
  </si>
  <si>
    <t>Total 2.5.3</t>
  </si>
  <si>
    <t>Being the amount paid to Baigyanik Mohanta, Prop. of Gayatree Book Store through NEFT Chq. No.046891 towards Training Materials for Participants on Training on Nutritional Kitchen garden and commercial vegetable gardeningdtd.on dtd.17.05.24 held at.DAPTA,Thakurnunda.Vide Bill No.214 dtd.16.05.2024.</t>
  </si>
  <si>
    <t>Total 2.5.4</t>
  </si>
  <si>
    <t>Total 2.6.1</t>
  </si>
  <si>
    <t>Total 2.6.2</t>
  </si>
  <si>
    <t>Total 2.7.1</t>
  </si>
  <si>
    <t>Total 2.7.2</t>
  </si>
  <si>
    <t>Being the amount paid to Kalinga Seeds through NEFT Chq. No.046902 towards purchased of Ragi ( finger Millet) 100kg for distribution to Farmers. Vide bill No.1311 dtd.21.06.2024</t>
  </si>
  <si>
    <t>24.06.2024</t>
  </si>
  <si>
    <t>P.V. No.34</t>
  </si>
  <si>
    <t>Total 2.8.1</t>
  </si>
  <si>
    <t>Total 2.8.2</t>
  </si>
  <si>
    <t>Total 2.9.1</t>
  </si>
  <si>
    <t>Activities Sub Total 2.9</t>
  </si>
  <si>
    <t>Total 2.10.1</t>
  </si>
  <si>
    <t>Being the amount paid to Narayan Barik prop. Of Hotel Swagatika through NEFT Chq. no.046887 towards resource person food  cost  for Training of on Govt. programs, Schemes related to food on dtd.08.05.24. held at.DAPTA Office, Thakurmunda Vide Bill No.1560 dtd.08.05.2024</t>
  </si>
  <si>
    <t>Being the amount paid to Ramani Ranjan Ojha through NEFT Chq. No.046888 towards  Resouce person honorarium with travel for Training on Govt. Program Scheme Related to food on dtd. 08.05.2024 held at.DAPTA Office ,Thakurmunda.</t>
  </si>
  <si>
    <t>P.V No.16</t>
  </si>
  <si>
    <t>Total 3.1.1</t>
  </si>
  <si>
    <t>Being the amount paid to Narayan Barik, Prop of. Hotel Swagatika through NEFT Chq. No.04687 towards supply of food for participants on Training of on Govt.Prog.scheme on dtd.08.05.24 held at.DAPTA Office, Thakurmunda Vide Bill No.1538 dtd.08.05.2024</t>
  </si>
  <si>
    <t>Total 3.1.2</t>
  </si>
  <si>
    <t>Being the amount paid to Ramasingh Badra  Prop. of  Badra Tour &amp; Travels through NEFT Chq. No.046887 towards hiring of 2no of vehicle for transportation participants on Training of on Govt. programs, Schemes related to food on dtd.08.05.24 Held at. DAPTA Office, Thakurmunda. Vide Bill No. 58, 59 dtd.08.05.2024</t>
  </si>
  <si>
    <t>Total 3.1.3</t>
  </si>
  <si>
    <t>Being the amount paid to Baigyanik Mohanta Prop. Of  Gayatree Book store  through NEFT Chq. No.04687 towards purchased of trng materials  on Training of on Govt. programs, Schemes dtd.08.05.2024. Vide Bill No.218 dtd. 07.05.2024</t>
  </si>
  <si>
    <t>Total 3.1.4</t>
  </si>
  <si>
    <t>Total 3.2.1</t>
  </si>
  <si>
    <t>Total 3.2.2</t>
  </si>
  <si>
    <t>Being the amount paid to Ramani Ranjan Ojha through NEFT Chq. No.046890 towards  Resouce person honorarium with travel for Training and capacity building of CBOs Members on Agriculture on dtd. 21.05.2024 held at.DAPTA Office ,Thakurmunda.</t>
  </si>
  <si>
    <t>P.V. No.19</t>
  </si>
  <si>
    <t>Being the amount paid to Narayan Barik Prop. Of  Hotel Swagatika through NEFT Chq. No.046891 towards supply of Food for PR  on Training and capacity building of CBOs Members on Agriculture on dtd. 21.05.2024 held at.DAPTA Office ,Thakurmunda. Vide Bill no.1578 dtd.21.05.2024</t>
  </si>
  <si>
    <t>P.V. No.24</t>
  </si>
  <si>
    <t>Total 3.3.1</t>
  </si>
  <si>
    <t>Being the amount paid to Narayan Barik Prop. Of  Hotel Swagatika through NEFT Chq. No.046891 towards supply of Food for Participants on Training and capacity building of CBOs members on dtd.21.05.24. Vide bill  No.1577 dtd.21.05.2024</t>
  </si>
  <si>
    <t>Being the amount paid to Ramasingh Badra, Prop. of Badra Tour &amp; Travel through NEFT Chq. No.046890 towards hiring of 2no of vehicle for transportation  on Training and capacity building of CBOs members  on dtd.21.05.24 Held ar. DAPTA Office, Thakurmunda. Vide Bill No.84,85 dtd.21.05.2024.</t>
  </si>
  <si>
    <t>Total 3.3.3</t>
  </si>
  <si>
    <t>Being the amount paid to Baigyanik Mohanta Prop. of Gaytree Book Store through NEFT Chq. No.046891 towards Training Materials for Participants on Training and capacity building of CBOs members  on dtd.21.05.24 Held ar. DAPTA Office, Thakurmunda. Vide Bill No.217 dtd.20.05.2024.</t>
  </si>
  <si>
    <t>Total 3.3.4</t>
  </si>
  <si>
    <t>Total 4.1.1</t>
  </si>
  <si>
    <t>Total 4.1.2</t>
  </si>
  <si>
    <t>Total 4.2.1</t>
  </si>
  <si>
    <t>Total 4.2.2</t>
  </si>
  <si>
    <t>Activities  Sub Tota l4.1 + 4.2</t>
  </si>
  <si>
    <t>Being the amount paid to Narayan Barik Prop: of  Hotel Swagatika  through NEFT Chq. NO. 046886 towards Supply of Food for  Review meeting on dtd.08.04.2024. Vide Bill No. 1530 dtd.08.04.2024</t>
  </si>
  <si>
    <t xml:space="preserve">09.05.2024 </t>
  </si>
  <si>
    <t>P.V No. 08</t>
  </si>
  <si>
    <t>Being the amount paid to Narayan Barik Prop: of Hotel Swagatika  through NEFT Chq. NO. 046886 towards Supply of Food for  Review meeting on dtd.04.05.2024. Vide Bill No. 1535 dtd.04.05.2024</t>
  </si>
  <si>
    <t>Being the amount paid to Narayan Barik Prop: of Hotel Swagatika  through NEFT Chq. NO. 046906 towards Supply of Food for  Review meeting on dtd.01.06.2024. Vide Bill No. 1584 dtd.01.06.2024</t>
  </si>
  <si>
    <t>P.V. No.37</t>
  </si>
  <si>
    <t>Total 4.3.1</t>
  </si>
  <si>
    <t>Activities  Sub Tota 4.3</t>
  </si>
  <si>
    <t>Total 4.4.1</t>
  </si>
  <si>
    <t>Activities Sub Total 4.4</t>
  </si>
  <si>
    <t>Being the Salary Paid to  Bitan Ku. Sharma,FC through NEFT Chq Bearing No.046882 for the month of April-2024.</t>
  </si>
  <si>
    <t>P.V No. 03</t>
  </si>
  <si>
    <t>Being the Salary Paid to  Bitan Ku. Sharma,FC through NEFT Chq Bearing No.046892 for the month of May-2024.</t>
  </si>
  <si>
    <t>P.V No. 25</t>
  </si>
  <si>
    <t>Being the Salary Paid to  Bitan Ku. Sharma,FC through NEFT Chq Bearing No.046904 for the month of June-2024.</t>
  </si>
  <si>
    <t>P.V No. 35</t>
  </si>
  <si>
    <t>Total 6.1</t>
  </si>
  <si>
    <t>Being the Salary Paid to  Umakanta Singh,AFC through NEFT Chq Bearing No.046882 for the month of April-2024.</t>
  </si>
  <si>
    <t>Being the Salary Paid to  Umakanta Singh,AFC through NEFT Chq Bearing No.046892 for the month of May-2024.</t>
  </si>
  <si>
    <t>Being the Salary Paid to  Umakanta Singh,AFC through NEFT Chq Bearing No.046904 for the month of June-2024.</t>
  </si>
  <si>
    <t>Total 6.2</t>
  </si>
  <si>
    <t>Being the Salary Paid to  4 Social Mobilizer ( Sauna Hembram, Geetanjali Das, Singraya Purti  &amp; Namita Mohanta) through NEFT Chq Bearing No.046882 for the month of April-2024.</t>
  </si>
  <si>
    <t>Being the Salary Paid to  4 Social Mobilizer ( Sauna Hembram, Geetanjali Das, Singraya Purti  &amp; Namita Mohanta) through NEFT Chq Bearing No.046892 for the month of May-2024.</t>
  </si>
  <si>
    <t>Being the Salary Paid to  4 Social Mobilizer ( Sauna Hembram, Geetanjali Das, Singraya Purti  &amp; Namita Mohanta) through NEFT Chq Bearing No..046904 for the month of June-2024.</t>
  </si>
  <si>
    <t>Total 6.3</t>
  </si>
  <si>
    <t>Being the Salary Paid to  Netrananda Pattnaik, part time Accountant through NEFT Chq Bearing No.046882 for the month of April-2024.</t>
  </si>
  <si>
    <t>Being the Salary Paid to  Netrananda Pattnaik, part time Accountant through NEFT Chq Bearing No..046892 for the month of May-2024.</t>
  </si>
  <si>
    <t>Being the Salary Paid to  Netrananda Pattnaik, part time Accountant through NEFT Chq Bearing No.046904 for the month of June-2024.</t>
  </si>
  <si>
    <t>Total 6.4</t>
  </si>
  <si>
    <t>Being the Honorarium paid to Aadarsh Bharat Mishra Sharma,PD through NEFT Chq Bearing No.046882 for the month of April-2024.</t>
  </si>
  <si>
    <t>Being the Honorarium paid to Aadarsh Bharat Mishra Sharma,PD through NEFT Chq Bearing No046892 for the month of May-2024.</t>
  </si>
  <si>
    <t>Being the Honorarium paid to Aadarsh Bharat Mishra Sharma,PD through NEFT Chq Bearing No.046904 for the month of June-2024.</t>
  </si>
  <si>
    <t>Total 6.5</t>
  </si>
  <si>
    <t>Being the amount paid to Aadash B M Mishra through NEFT Chq. No.046897 towards  use of my personal vehicle for visit thakurmunda, Mayaubhanj on dtd.02.06.2024 to 05.06.2024 for monitoring visit.</t>
  </si>
  <si>
    <t>P.v No.29</t>
  </si>
  <si>
    <t>Total 7.1</t>
  </si>
  <si>
    <t>Being the amount paid to Bitan Kumar Sharma,FC through NEFT Chq. No.046884 towards  Travel cost during field visit for the month of   April-2024.</t>
  </si>
  <si>
    <t>P.V No. 05</t>
  </si>
  <si>
    <t>Being the amount paid to Bitan Kumar Sharma,FC through NEFT Chq. No.046895 towards  Travel cost during field visit for the month of   May-2024.</t>
  </si>
  <si>
    <t>08.06.2024</t>
  </si>
  <si>
    <t>P.V No. 26</t>
  </si>
  <si>
    <t>Being the amount paid to Bitan Kumar Sharma,FC through NEFT Chq. No.046905 towards  Travel cost during field visit for the month of   June-2024.</t>
  </si>
  <si>
    <t>P.V No. 36</t>
  </si>
  <si>
    <t>Total 7.2</t>
  </si>
  <si>
    <t>Being the amount paid to UmaKanta Singh, AFC through NEFT Chq. No.046884 towards  Travel cost during field visit for the month of   April-2024.</t>
  </si>
  <si>
    <t>Being the amount paid to UmaKanta Singh, AFC through NEFT Chq. No.046895 towards  Travel cost during field visit for the month of   May-2024.</t>
  </si>
  <si>
    <t>Being the amount paid to UmaKanta Singh, AFC through NEFT Chq. No.046905 towards  Travel cost during field visit for the month of  June-2024.</t>
  </si>
  <si>
    <t>Total 7.3</t>
  </si>
  <si>
    <t>Being the amount paid to Sauna Hembram, Social Mobilizer through NEFT Chq. No.046884 towards  Travel cost during field visit for the month of   April-2024.</t>
  </si>
  <si>
    <t>Being the amount paid to  Geetanjali Das,, Social Mobilizer through NEFT Chq. No.046884 towards  Travel cost during field visit for the month of   April-2024.</t>
  </si>
  <si>
    <t>Being the amount paid to  Singraya Purti , Social Mobilizer through NEFT Chq. No.046884 towards  Travel cost during field visit for the month of   April-2024.</t>
  </si>
  <si>
    <t>Being the amount paid to Namita Mohanta, Social Mobilizer through NEFT Chq. No.046884 towards  Travel cost during field visit for the month of   April-2024.</t>
  </si>
  <si>
    <t>Being the amount paid to Sauna Hembram, Social Mobilizer through NEFT Chq. No.046895 towards  Travel cost during field visit for the month of   May-2024.</t>
  </si>
  <si>
    <t>Being the amount paid to  Geetanjali Das,, Social Mobilizer through NEFT Chq. No.046895 towards  Travel cost during field visit for the month of   May-2024.</t>
  </si>
  <si>
    <t>Being the amount paid to  Singraya Purti , Social Mobilizer through NEFT Chq. No.046895 towards  Travel cost during field visit for the month of   May-2024.</t>
  </si>
  <si>
    <t>Being the amount paid to Namita Mohanta, Social Mobilizer through NEFT Chq. No.046895 towards  Travel cost during field visit for the month of  May-2024.</t>
  </si>
  <si>
    <t>Being the amount paid to Sauna Hembram, Social Mobilizer through NEFT Chq. No.046905  towards  Travel cost during field visit for the month of   June-2024.</t>
  </si>
  <si>
    <t>Being the amount paid to  Geetanjali Das,, Social Mobilizer through NEFT Chq. No.046905 towards  Travel cost during field visit for the month of   June-2024.</t>
  </si>
  <si>
    <t>Being the amount paid to  Singraya Purti , Social Mobilizer through NEFT Chq. No.046905  towards  Travel cost during field visit for the month of   June-2024.</t>
  </si>
  <si>
    <t>Being the amount paid to Namita Mohanta, Social Mobilizer through NEFT Chq. No.046905 towards  Travel cost during field visit for the month of  June-2024.</t>
  </si>
  <si>
    <t>Total 7.4</t>
  </si>
  <si>
    <t>Being the amount paid to Basanta Kumar Paibarty through NEFT Chq. bearing no. 046884 towards Office rent for the month of  April-2024.</t>
  </si>
  <si>
    <t>P.V No.06</t>
  </si>
  <si>
    <t>Being the amount paid to Basanta Kumar Paibarty through NEFT Chq. bearing no. 046890 towards Office rent for the month of  May-2024.</t>
  </si>
  <si>
    <t>P.V No.21</t>
  </si>
  <si>
    <t>Being the amount paid to Basanta Kumar Paibarty through NEFT Chq. bearing no. 046907 towards Office rent for the month of  June-2024</t>
  </si>
  <si>
    <t>P.V No.40</t>
  </si>
  <si>
    <t>Total 8.1</t>
  </si>
  <si>
    <t>Being the amount deducted by bank towards commission charges.</t>
  </si>
  <si>
    <t>P.V No.01</t>
  </si>
  <si>
    <t>P.V No.02</t>
  </si>
  <si>
    <t>10.05.2024</t>
  </si>
  <si>
    <t>P.V. No.09</t>
  </si>
  <si>
    <t>Being the amount paid to Baigyanik Mohanta prop.of  Gayatree Book Store through NEFT Chq. No.046887 towards purchased of  stationary for office use.Vide Bill No.209 dtd.29.04.2024</t>
  </si>
  <si>
    <t>P.V No.14</t>
  </si>
  <si>
    <t>Being the amount deducted by bank towards Cheque Book Charge.</t>
  </si>
  <si>
    <t>21.06.2024</t>
  </si>
  <si>
    <t>P.V No.30</t>
  </si>
  <si>
    <t>Being the amount paid to Purna Art Gallery, Prop: Purna Chandra Tripathy through NEFT Chq. No.046903 towards Printing of Letter Pad for office use. Vide bill No.10 dtd.31.05.2024</t>
  </si>
  <si>
    <t xml:space="preserve">24.06.2024 </t>
  </si>
  <si>
    <t>P.V No.31</t>
  </si>
  <si>
    <t>Being the amount paid to Omm Sai Computer, Prop: of Ganeswar Mohanta through NEFT Chq. No.046902 towards  Pinter Cetridge Reffing. Vide Bill No.15 dtd.31.05.2024</t>
  </si>
  <si>
    <t>P.V No.32</t>
  </si>
  <si>
    <t>Being the amount paid to Baigyanik Mohanta prop: of Gayatree Book Store through NEFT Chq. No.046903 towards purchased of  stationary for office use. Vide Bill No. 228 dtd.31.05.2024</t>
  </si>
  <si>
    <t>P.V No.33</t>
  </si>
  <si>
    <t>Being the amount paid to  Partha Sarathi Thakur,Prop. Of Saraswati Vidya Bhandar  through NEFT Chq. No.046908 towards purchased of  stationary for office use.122 dtd.28.06.2024</t>
  </si>
  <si>
    <t>P.V No.43</t>
  </si>
  <si>
    <t>Total 8.2</t>
  </si>
  <si>
    <t>Being the amount Paid to Ganeswar Mohanta Prop: of OMM Sai Computer Towards Purachsed of Quik Heal Antivirus for Office Laptop. Vide Bill No.97 dtd.20.06.2024</t>
  </si>
  <si>
    <t>P.V No.41</t>
  </si>
  <si>
    <t>Total 8.3</t>
  </si>
  <si>
    <t>Total 8.4</t>
  </si>
  <si>
    <t>Total 8.5</t>
  </si>
  <si>
    <t>Start: 1 July 2024</t>
  </si>
  <si>
    <t>End: 30 Sept 2024</t>
  </si>
  <si>
    <t>Total Balance available on 1.July 2024</t>
  </si>
  <si>
    <t>Grant Received from MCC for Qtr-2 2024-25:</t>
  </si>
  <si>
    <t>MCC Approved budget-Yr-1</t>
  </si>
  <si>
    <t>Total 1.6.1</t>
  </si>
  <si>
    <t>Total 1.6.2</t>
  </si>
  <si>
    <t>Total 1.6.3</t>
  </si>
  <si>
    <t>Total 1.6.4</t>
  </si>
  <si>
    <t>Total 2.10.2</t>
  </si>
  <si>
    <t>Total 2.11.1</t>
  </si>
  <si>
    <t>Total 2.11.2</t>
  </si>
  <si>
    <t>Start: 1 Octo. 2024</t>
  </si>
  <si>
    <t>End: 31 Dec. 2024</t>
  </si>
  <si>
    <t>Opening Balalnce : on 1 Octo. 2024  Cash in Hand</t>
  </si>
  <si>
    <t>Total Balance available on 1.Octo. 2024</t>
  </si>
  <si>
    <t>Grant Received from MCC for Qtr-3 2024-25:</t>
  </si>
  <si>
    <t>Total 2.12.1</t>
  </si>
  <si>
    <t>Start: 1 Jan. 2025</t>
  </si>
  <si>
    <t>End: 30 March 2025</t>
  </si>
  <si>
    <t>Opening Balalnce : on 1 Jan. 2025  Cash in Hand</t>
  </si>
  <si>
    <t>Total Balance available on 1. Jan 2025</t>
  </si>
  <si>
    <t>Opening Balance : on 1 April 2024  Cash in Hand</t>
  </si>
  <si>
    <t>Bank interest earned</t>
  </si>
  <si>
    <t>Bank interest</t>
  </si>
  <si>
    <t>Quarterly
Budgeted Amount Qtr-2  2024</t>
  </si>
  <si>
    <t>Quarterly
Budgeted Amount Qtr-3  2024</t>
  </si>
  <si>
    <t>Quarterly
Budgeted Amount Qtr-4  2025</t>
  </si>
  <si>
    <t>16.07.2024</t>
  </si>
  <si>
    <t>Opening Balalnce : on 1 July 2024  Cash in Cash</t>
  </si>
  <si>
    <t>16.07.24</t>
  </si>
  <si>
    <t>P.V No.45</t>
  </si>
  <si>
    <t>Being the amount deducted by bank towards Service charges.</t>
  </si>
  <si>
    <t>P.V No.46</t>
  </si>
  <si>
    <t>Being the amount paid to  Ramasingh Badra, Prop. of Badra Tour &amp; Travel through NEFT Chq. No.046911 towards Vehicle Hiring for Participates on Need Based Training on Income Gen. activities like Fish Cultivation  on dtd.27.06.2024 held at, DAPTA office,Thakurmunda Vide bill no.98 &amp; 99 dtd.27.06.24</t>
  </si>
  <si>
    <t>P.V No.47</t>
  </si>
  <si>
    <t>24.07.2024</t>
  </si>
  <si>
    <t>P.V No.48</t>
  </si>
  <si>
    <t>24.07.24</t>
  </si>
  <si>
    <t>P.V No.49</t>
  </si>
  <si>
    <t>Being the amount paid to Narayan Barik,Prop. of Hotel Swagatika through NEFT Chq. No.046915 towards supply of Food for  Resource Person on  Staff Capacity Building on Leadership &amp; Thematic Training on dtd.10 &amp;11.07.2024. Vide Bill No.1603 dtd.11.07.2024</t>
  </si>
  <si>
    <t>P.V No.50</t>
  </si>
  <si>
    <t>Being the amount paid to Narayan Barik,Prop. of Hotel Swagatika through NEFT Chq. No.046915 towards supply of Food for  Participants  on  Staff Capacity Building on Leadership &amp; Thematic Training on dtd.10 &amp;11.07.2024. Vide Bill No.1602 dtd.11.07.2024</t>
  </si>
  <si>
    <t>Being the amount paid to Narayan Barik,Prop. of Hotel Swagatika through NEFT Chq. No.046915 towards supply of Food for participants on  Staff Reveiw meeting dtd.03.07.2024. Vide bill No..1599 dtd.03.07.24.</t>
  </si>
  <si>
    <t>Being the amount paid to Basanta Kumar Paibarty through NEFT Chq. bearing no. 046916 towards Office rent for the month of  July-2024.</t>
  </si>
  <si>
    <t>31.07.2024</t>
  </si>
  <si>
    <t>P.V No.51</t>
  </si>
  <si>
    <t>Being the amount paid to Jyotshnarani Pradhan prop. of New Family Bazar,Thakurmunda through NEFT Chq. No.046916 towards purchased of Biscuits for participants of 06nos Monthly village community Meeting month of July-2024. vide Bill No. 176 dtd.02.07.24.</t>
  </si>
  <si>
    <t>31.07.24</t>
  </si>
  <si>
    <t>P.V No.52</t>
  </si>
  <si>
    <t>P.V No.53</t>
  </si>
  <si>
    <t>Being the Salary Paid to   Bitan Ku. Sharma,FC  through NEFT Chq Bearing No.046918 for the month of  July-2024.</t>
  </si>
  <si>
    <t>P.V No.54</t>
  </si>
  <si>
    <t>Being the Salary Paid to   Umakanta Singh, AFC  through NEFT Chq Bearing No.046918 for the month of  July-2024.</t>
  </si>
  <si>
    <t>Being the Salary Paid to  4 Social Mobilizer ( Sauna Hembram, Geetanjali Das, Singraya Purti  &amp; Namita Mohanta) through NEFT Chq Bearing No.046918 for the month of July-2024.</t>
  </si>
  <si>
    <t>Being the Salary Paid to   Netrananda Pattnaik, Accountant through NEFT Chq Bearing No.046918 for the month of  July-2024.</t>
  </si>
  <si>
    <t>Being the Honorarium paid to Aadarsh Sharma,PD  through NEFT Chq Bearing No.046918 for the month of  July-2024.</t>
  </si>
  <si>
    <t>Being the amount paid to Bitan Kumar Sharma,FC through NEFT Chq. No.046919 towards  Travel cost during field visit for the month of   July-2024.</t>
  </si>
  <si>
    <t>P.V No.55</t>
  </si>
  <si>
    <t>Being the amount paid to Umakanta Singh,AFC through NEFT Chq. No.046919 towards  Travel cost during field visit for the month of   July-2024.</t>
  </si>
  <si>
    <t>P.V. No.55</t>
  </si>
  <si>
    <t>Being the amount paid to Sauna Hembram, Social Mobilizer through NEFT Chq. No.046919  towards  Travel cost during field visit for the month of   July-2024.</t>
  </si>
  <si>
    <t>Being the amount paid to  Geetanjali Das,, Social Mobilizer through NEFT Chq. No.046919  towards  Travel cost during field visit for the month of   July-2024.</t>
  </si>
  <si>
    <t>Being the amount paid to  Singraya Purti , Social Mobilizer through NEFT Chq. No.046919  towards  Travel cost during field visit for the month of   July-2024.</t>
  </si>
  <si>
    <t>Being the amount paid to Namita Mohanta, Social Mobilizer through NEFT Chq. No.046919  towards  Travel cost during field visit for the month of   July-2024.</t>
  </si>
  <si>
    <t>22.08.24</t>
  </si>
  <si>
    <t>P.V No.59</t>
  </si>
  <si>
    <t>P.V No.60</t>
  </si>
  <si>
    <t>P.V No.61</t>
  </si>
  <si>
    <t>22.08.204</t>
  </si>
  <si>
    <t>P.V No.62</t>
  </si>
  <si>
    <t>28.08.24</t>
  </si>
  <si>
    <t>P.V No.63</t>
  </si>
  <si>
    <t>Being the amount paid to The new india Assurance Co.ltd through Chq. No.046929 towards Accident Insurance of  Assistant Field Co-ordinator.  Vide Policy  No.55090342240100000052, 55090342240100000054,55090342240100000057&amp; 55090342240100000056  dtd.02.09.2024</t>
  </si>
  <si>
    <t>Being the amount paid to The new india Assurance Co.ltd through Chq. No.046929 towards Accident Insurance of  Assistant Field Co-ordinator.  Vide Policy  No.55090342240100000055 dtd.02.09.2024</t>
  </si>
  <si>
    <t>Being the amount paid to The new india Assurance Co.ltd through Chq. No.046929 towards Accident Insurance of  Assistant Field Co-ordinator.  Vide Policy  No.55090342240100000053 dtd.02.09.2024</t>
  </si>
  <si>
    <t>30.08.2024</t>
  </si>
  <si>
    <t>P.V No.64</t>
  </si>
  <si>
    <t>Being the amount paid to  Lizarani Barik prop. of Lijarani Traders,Thakurmunda through NEFT Chq. No.046930 towards purchased of Biscuits for participants of 06nos Monthly village community Meeting month of Aug-2024. Vide Bill No.055 dtd.02.08.2024</t>
  </si>
  <si>
    <t>Being the amount paid to Gayatree Book store  through NEFT Chq. No.046930 towards purchased of  Training materials  on Training to the CBOs  held at . DAPTA,Office, Thakurmunda  on dtd.14.08.24. Vide Bill No.248 dtd.14.08.2024.</t>
  </si>
  <si>
    <t>30.08.24</t>
  </si>
  <si>
    <t>P.V No.65</t>
  </si>
  <si>
    <t xml:space="preserve">30.08.24 </t>
  </si>
  <si>
    <t>P.V No.66</t>
  </si>
  <si>
    <t>Being the amount paid to Narayan Barik, Prop of. Hotel Swagatika through NEFT Chq. No.046930 towards supply of food for participants on  Training to the CBO’s (SHG)  dtd.14.08.2024 held at. DAPTA, Office,Thakurmunda. Vide Bill No.1702 dtd.14.08.2024</t>
  </si>
  <si>
    <t>Being the amount paid to Narayan Barik, Prop of. Hotel Swagatika through NEFT Chq. No.046930 towards supply of food for  Resource Person on Training to the CBOs dtd.14.08.24 held at. DAPTA,Office,Thakurmunda. Vide Bill No.1703 dtd. 14.08.24.</t>
  </si>
  <si>
    <t>P.V No.67</t>
  </si>
  <si>
    <t>P.V No.68</t>
  </si>
  <si>
    <t>Being the amount paid to Ramani ranjan Ojha through NEFT Chq. no.046931 towards resource person honorarium with Travel cost  for Training to the CBOs on dtd.14.08.24 held at. DAPTA office, Thakurmunda.</t>
  </si>
  <si>
    <t>P.V No.69</t>
  </si>
  <si>
    <t>Being the amount paid to Priti Prasanna Sahoo, R.P through NEFT Chq. no.046931 towards resource person honorarium with Travel cost  for Trainings on Alternate Livelihood Options:  Poultry &amp; Goat Rearing  dtd.27.08.24 held at.DAPTA,Office,Thakurmunda.</t>
  </si>
  <si>
    <t>Being the amount paid to Priti Prasanna Sahoo, R.P through NEFT Chq. no.046931 towards resource person honorarium with Travel cost  for Training on primary treatments and Vaccination for the domestic animals  dtd.28.08.24 held at.DAPTA,Office,Thakurmunda.</t>
  </si>
  <si>
    <t>30.08.204</t>
  </si>
  <si>
    <t>Being the amount paid to Bijaya Ku. Swain, Prop. of Maa Sarala medical Store through NEFT Chq. No. 046932 towards purachsed of Vaccination &amp; Medicine for Domestic Animals Vide Bill No.0127 dtd 28.08.2024</t>
  </si>
  <si>
    <t>P.V No.71</t>
  </si>
  <si>
    <t>Being the Salary Paid to  4 Social Mobilizer ( Sauna Hembram, Geetanjali Das, Singraya Purti  &amp; Namita Mohanta) through NEFT Chq Bearing No.046933 for the month of August-2024.</t>
  </si>
  <si>
    <t>31.08.2024</t>
  </si>
  <si>
    <t>P.V No.72</t>
  </si>
  <si>
    <t>Being the Salary Paid to   Bitan Ku. Sharma,FC  through NEFT Chq Bearing No.046933 for the month of  August -2024.</t>
  </si>
  <si>
    <t>31.08.24</t>
  </si>
  <si>
    <t>Being the Salary Paid to   Umakanta Singh, AFC  through NEFT Chq Bearing No.046933 for the month of  August-2024.</t>
  </si>
  <si>
    <t>Being the Salary Paid to   Netrananda Pattnaik, Accountant through NEFT Chq Bearing No.046933 for the month of   August -2024.</t>
  </si>
  <si>
    <t>Being the Honorarium paid to Aadarsh Sharma,PD  through NEFT Chq Bearing No.046933 for the month of  August -2024.</t>
  </si>
  <si>
    <t>Being the amount paid to Bitan Kumar Sharma,FC through NEFT Chq. No.046934 towards  Travel cost during field visit for the month of   August-2024.</t>
  </si>
  <si>
    <t>P.V No.73</t>
  </si>
  <si>
    <t>Being the amount paid to Umakanta Singh,AFC through NEFT Chq. No.046934 towards  Travel cost during field visit for the month of   August-2024.</t>
  </si>
  <si>
    <t>P.V. No.73</t>
  </si>
  <si>
    <t>Being the amount paid to Sauna Hembram, Social Mobilizer through NEFT Chq. No.046934  towards  Travel cost during field visit for the month of   August-2024.</t>
  </si>
  <si>
    <t>Being the amount paid to  Geetanjali Das,, Social Mobilizer through NEFT Chq. No.046934  towards  Travel cost during field visit for the month of   August-2024.</t>
  </si>
  <si>
    <t>Being the amount paid to  Singraya Purti , Social Mobilizer through NEFT Chq. No.046934  towards  Travel cost during field visit for the month of   August-2024.</t>
  </si>
  <si>
    <t>Being the amount paid to Namita Mohanta, Social Mobilizer through NEFT Chq. No.046934  towards  Travel cost during field visit for the month of   August-2024.</t>
  </si>
  <si>
    <t>Being the amount paid to Basanta Kumar Paibarty through NEFT Chq. bearing no. 046935 towards Office rent for the month of  August-2024.</t>
  </si>
  <si>
    <t>P.V No.74</t>
  </si>
  <si>
    <t>Being the amount paid to Jatin Kumar Nayak , Prop. of Palishree krushi Seva Kandra, through NEFT Chq. No.046941 towards purchased of Pulses Seeds ( Black Gram &amp; Horse Gram) for distribution to 437 Families vide Bill No.317 dtd.14.09.2024</t>
  </si>
  <si>
    <t>23.09.24</t>
  </si>
  <si>
    <t>P.V No.76</t>
  </si>
  <si>
    <t>30.09.24</t>
  </si>
  <si>
    <t>P.V No.77</t>
  </si>
  <si>
    <t>Being the amount paid to  Lijarani Barik prop. of Lijarani Traders,Thakurmunda through NEFT Chq. No.046943 towards purchased of Biscuits for participants of 06nos Monthly village community Meeting month of Sept-2024.Vide Bill No.064 dtd.3.09.2024</t>
  </si>
  <si>
    <t>Being the amount paid to  Lijarani Barik prop. of Lijarani Traders,Thakurmunda through NEFT Chq. No.046943 towards purchased  Sanitation Items for office use. Vide Bill No. 63 dtd.02.09.2024</t>
  </si>
  <si>
    <t>P.V No.78</t>
  </si>
  <si>
    <t>Being the amount paid to Baigyanik Mohanta prop: of Gayatree Book Store through NEFT Chq. No.046943 towards purchased of  stationary for office use. Vide Bill No.258 dtd.10.09.2024.</t>
  </si>
  <si>
    <t>30.09.2024</t>
  </si>
  <si>
    <t>P.V No.79</t>
  </si>
  <si>
    <t>P.V No.80</t>
  </si>
  <si>
    <t>Being the Salary Paid to   Bitan Ku. Sharma,FC  through NEFT Chq Bearing No.046944 for the month of  September -2024.</t>
  </si>
  <si>
    <t>P.V No.81</t>
  </si>
  <si>
    <t>Being the Salary Paid to   Umakanta Singh, AFC  through NEFT Chq Bearing No.046944 for the month of  September -2024.</t>
  </si>
  <si>
    <t>Being the Salary Paid to  4 Social Mobilizer ( Sauna Hembram, Geetanjali Das, Singraya Purti  &amp; Namita Mohanta) through NEFT Chq Bearing No.046944 for the month of September-2024.</t>
  </si>
  <si>
    <t>31.09.2024</t>
  </si>
  <si>
    <t>Being the Salary Paid to   Netrananda Pattnaik, Accountant through NEFT Chq Bearing No.046944 for the month of   September -2024.</t>
  </si>
  <si>
    <t>Being the Honorarium paid to Aadarsh Sharma,PD  through NEFT Chq Bearing No.046944 for the month of September -2024.</t>
  </si>
  <si>
    <t>Being the amount paid to Bitan Kumar Sharma,FC through NEFT Chq. No.046945 towards  Travel cost during field visit for the month of  September-2024.</t>
  </si>
  <si>
    <t>P.V No.82</t>
  </si>
  <si>
    <t>Being the amount paid to Umakanta Singh,AFC through NEFT Chq. No.046945 towards  Travel cost during field visit for the month of   September -2024.</t>
  </si>
  <si>
    <t>P.V. No.82</t>
  </si>
  <si>
    <t>Being the amount paid to Sauna Hembram, Social Mobilizer through NEFT Chq. No.046945  towards  Travel cost during field visit for the month of  September-2024.</t>
  </si>
  <si>
    <t>Being the amount paid to  Geetanjali Das,, Social Mobilizer through NEFT Chq. No.046945  towards  Travel cost during field visit for the month of  September-2024.</t>
  </si>
  <si>
    <t>Being the amount paid to  Singraya Purti , Social Mobilizer through NEFT Chq. No.0046945  towards  Travel cost during field visit for the month of  September-2024.</t>
  </si>
  <si>
    <t>Being the amount paid to Namita Mohanta, Social Mobilizer through NEFT Chq. No.046945  towards  Travel cost during field visit for the month of  September-2024.</t>
  </si>
  <si>
    <t>Being the amount paid to Basanta Kumar Paibarty through NEFT Chq. bearing no. 046946 towards Office rent for the month of  Sept-2024.</t>
  </si>
  <si>
    <t>P.V No.83</t>
  </si>
  <si>
    <t>P.V No.84</t>
  </si>
  <si>
    <t>Being the amount paid to Narayan Barik, Prop of. Hotel Swagatika through NEFT Chq. No.04687 towards supply of food for participants on  Natural resource management Training dtd.13.08.2024 held at DAPTA,Thakurmunda. Vide Bill No.1697 dtd.13.08.24</t>
  </si>
  <si>
    <t>Being the amount paid to Jagannath Sahu through NEFT Chq. No.046925 towards  Resouce person honorarium with travel on Natural resource management training  dtd.13.08.24 held at.DAPTA Office ,Thakurmunda.</t>
  </si>
  <si>
    <t>Being the amount paid to Narayan Barik, Prop of. Hotel Swagatika through NEFT Chq. No.04687 towards supply of food for Resource Person on Natural resource management Training dtd.13.08.2024 held at DAPTA,Thakurmunda. Vide Bill No.1698 dtd.13.08.24</t>
  </si>
  <si>
    <t>Being the amount paid to Ramasingh Badra through NEFT Chq. No.046925 towards hiring of 2no of vehicle for transportation of participants on Natural resource management training dtd.13.08.2024 held at. DAPTA Office,Thakurmunda. Vide Bill No.125 &amp; 126 dtd.13.08.24</t>
  </si>
  <si>
    <t>Being the amount paid to Gayatree Book store  through NEFT Chq. No.046925 towards purchased of Training materials  for Participants on Natural resource management Training dtd.13.08.2024 held at. DAPTA Office, Thakurmunda. Vide Bill No.243 dtd.13.08.24</t>
  </si>
  <si>
    <t>Being the amount paid to Ramasingh Badra, through NEFT Chq. No.046931 towards hiring of 2no of vehicle for transportation participants on Training to the CBOs  dtd.14.08.24 held at. DAPTA,Office, Thakurmunda. Vide Bill No.127 &amp; 128 dtd.14.08.2024</t>
  </si>
  <si>
    <t>Being the amount paid to Narayan Barik, Prop of. Hotel Swagatika through NEFT Chq. No.046930 towards supply of food for  Resource Person on Alternate Livelihood Options:  Poultry &amp; Goat Rearing  Training dtd.27.08.24 held at.DAPTA,Office,Thakurmunda. Vide Bill No.1710 dtd. 27.08.24.</t>
  </si>
  <si>
    <t>Being the amount paid to Narayan Barik, Prop of. Hotel Swagatika through NEFT Chq. No.046930 towards supply of food for participants on  Alternate Livelihood Options:  Poultry &amp; Goat Rearing Training dtd.27.08.2024 held at. DAPTA, Office,Thakurmunda. Vide Bill No.1709 dtd.27.08.2024</t>
  </si>
  <si>
    <t>Being the amount paid to Ramasingh Badra, through NEFT Chq. No.046931 towards hiring of 2no of vehicle for transportation participants on Alternate Livelihood Options:  Poultry &amp; Goat Rearing  Training dtd.27.08.24 held at. DAPTA,Office, Thakurmunda. Vide Bill No.136 &amp; 137 dtd.27.08.2024</t>
  </si>
  <si>
    <t>Being the amount paid to Gayatree Book store  through NEFT Chq. No.046930 towards purchased of  Training materials  on Alternate Livelihood Options:  Poultry &amp; Goat Rearing  training  held at . DAPTA,Office, Thakurmunda  on dtd. 27.08.24. Vide Bill No.251 dtd.27.08.2024.</t>
  </si>
  <si>
    <t>Being the amount paid to Narayan Barik, Prop of. Hotel Swagatika through NEFT Chq. No.046930 towards supply of food for  Resource Person on Primary treatments and Vaccination for the domestic animals Training   dtd.28.08.24 held at.DAPTA,Office,Thakurmunda. Vide Bill No.1712 dtd. 28.08.24.</t>
  </si>
  <si>
    <t>Being the amount paid to Narayan Barik, Prop of. Hotel Swagatika through NEFT Chq. No.046930 towards supply of food for participants on  Primary treatments and Vaccination for the domestic animals training dtd.28.08.2024 held at. DAPTA, Office,Thakurmunda. Vide Bill No.1711 dtd.28.08.2024</t>
  </si>
  <si>
    <t>Being the amount paid to Ramasingh Badra, through NEFT Chq. No.046931 towards hiring of 2no of vehicle for transportation participants on primary treatments and Vaccination for the domestic animals  training dtd.28.08.24 held at. DAPTA,Office, Thakurmunda. Vide Bill No.138 &amp; 139 dtd.28.08.2024</t>
  </si>
  <si>
    <t>Being the amount paid to Gayatree Book store  through NEFT Chq. No.046930 towards purchased of  Training materials  on primary treatments and Vaccination for the domestic animals training held at . DAPTA,Office, Thakurmunda  on dtd. 28.08.24. Vide Bill No.252 dtd.28.08.2024.</t>
  </si>
  <si>
    <t>Being the amount  paid to Siram Badra through NEFT Chq. No.046943 towards veterinary visit fee for vaccination and Medication to the Domestic Animal in 07 Village per Visit @Rs.1200/- X 3Visit.</t>
  </si>
  <si>
    <t>Being the amount paid to Sudhir Kumar Dash,RP through NEFT Chq. No.046914 towards Resource person Honorarium  on  Staff Capacity Building on Leadership &amp; Thematic Training on dtd.10 &amp;11.07.2024 held at, DAPTA office,Thakurmunda.</t>
  </si>
  <si>
    <t>Being the amount paid to Ramasingh Badra, Prop. of Badra Tour &amp; Travel through NEFT Chq. No.046914 towards Hiring of Vehicle for Transportation of R.P   Receive from Bhubaneswar to Thakumunda  &amp; Back  to BBSR on  Staff Capacity Building Training on dtd.10 &amp;11.07.2024 held at, DAPTA office,Thakurmunda. Vide bill no. 104 dtd.10.07.24 &amp; 106 dtd.12.07.24.</t>
  </si>
  <si>
    <t>Being the amount paid to Narayan Barik,Prop. of Hotel Swagatika through NEFT Chq. No.046917 towards supply of Food for  Staff   on  Monthly Staff Reveiw &amp; Planning meeting Dtd.01.08.2024 held at. DAPTA,Office,Thakurmunda. Vide bill No.1693 dtd.01.08.24</t>
  </si>
  <si>
    <t>Being the amount paid to Narayan Barik,Prop. of Hotel Swagatika through NEFT Chq. No.046943 towards supply of Food for  Staff on  Monthly Staff Reveiw &amp; Planning meeting Dtd.03.09.2024 held at. DAPTA,Office,Thakurmunda. Vide Bill No. 1719 dtd.03.09.2024.</t>
  </si>
  <si>
    <t>Being the amount paid to Aadash B M Mishra through NEFT Chq. No.046947 towards  Use personal Vehicle  for Monitoring Visit  from Bhawanipatna to Thakurmunda, mayurbhanj on dtd.18 to 21.09.24 &amp; Train Ticket of Ravi behera.</t>
  </si>
  <si>
    <t>Being the amount deducted by bank towards NEFT Charges.</t>
  </si>
  <si>
    <t>30.09.204</t>
  </si>
  <si>
    <t>P.V No.85</t>
  </si>
  <si>
    <t>15.10.2024</t>
  </si>
  <si>
    <t>08.10.2024</t>
  </si>
  <si>
    <t>Pv No.87</t>
  </si>
  <si>
    <t>Being the amount paid to Ramasingh Badra Prop. of Badra Tour &amp; Travel through NEFT Chq. No.052126 towards hiring 1nos vehicle for transportation  for Pluses distrubution to 7Villages. Vide Bill No.130 dtd. 25.09.2024</t>
  </si>
  <si>
    <t>Being the amount paid to Ramasingh Badra Prop. of Badra Tour &amp; Travel through NEFT Chq. No.052126 towards hiring of 2no of vehicle for transportation participants on Training on natural resource management dtd.29.09.24 held at.Th.munda. Vide Bill No.134 &amp; 135 dtd.29.09.24</t>
  </si>
  <si>
    <t>Being the amount paid to Ravi Shankar Behera,RP through NEFT Chq. No.052126 towards  Resouce person honorarium of Training on natural resource management dtd.29.09.24 held at.DAPTA Office ,Thakurmunda.</t>
  </si>
  <si>
    <t>Pv. No.88</t>
  </si>
  <si>
    <t>Being the amount  reimbursed to Bitan Ku Sharna,FC through NEFT Chq. No.052126 towards R.P Train Ticket booked by Bitan ji Travel from BBSR to Bhadrak &amp; Return Ticket for  Staff Capacity Building Training on dtd.26&amp;27.09.24 vide PNR No.6341149736 dtd.04.09.24 &amp;6641148453 dtd.04.09.24.</t>
  </si>
  <si>
    <t>Pv.No.89</t>
  </si>
  <si>
    <t>Being the amount reimbursed to Bitan Ku Sharna through NEFT Chq. No.052126 towards  Bike Repair  charges. Vide Bill No.52 dtd.4.10.2024</t>
  </si>
  <si>
    <t>Pv. No. 89</t>
  </si>
  <si>
    <t xml:space="preserve">Being the amount paid to Jagannath Jena Prop. of Khusi Tour &amp; Travel through NEFT Chq. No.052126 towards Hiring of Vehicle for Transportation of R.P  from Bhadrak to Thakumunda dtd.25.09.24 &amp; Return  Thakurmunda to Bhadrak dtd.01.10.24. vide Bill No. 207 dtd.25.09.2024 &amp; 208 dtd.01.10.2024. </t>
  </si>
  <si>
    <t>Pv.No.90</t>
  </si>
  <si>
    <t>Pv No.91</t>
  </si>
  <si>
    <t>Being the amount paid to Baigyanik Mohanta Prop. of Gayatree Book store  through NEFT Chq. No.052127 towards purchased of Training materials for Participants on Training on natural resource management dtd.29.09.2024 held at. DAPTA Office, Thakurmunda.Vide Bill No.261 dtd.29.09.2024</t>
  </si>
  <si>
    <t>Being the amount paid to Narayan Barik, Prop of. Hotel Swagatika through NEFT Chq. No.052127 towards supply of food for participants for Training on natural resource management dtd 29.09.2024 held at DAPTA,Thakurmunda. Vide Bill No.1729 dtd.29.09.2024</t>
  </si>
  <si>
    <t>Pv. No.92</t>
  </si>
  <si>
    <t>Being the amount paid to Narayan Barik,Prop. of Hotel Swagatika through NEFT Chq. No.052127 towards supply of Food for  Resource person  on  Staff Capacity Building on Leadership &amp; Thematic Training on dtd.26 &amp; 27.09.2024. Vide Bill No.1725 dtd.28.09.2024</t>
  </si>
  <si>
    <t>Pv. No.93</t>
  </si>
  <si>
    <t>Being the amount paid to Narayan Barik,Prop. of Hotel Swagatika through NEFT Chq. No.052127 towards supply of Food for participants  on  Staff Capacity Building on Leadership &amp; Thematic Training on dtd.26 &amp; 27.09.2024. Vide Bill No. 1723  dtd.26.09.2024 &amp;1724 dtd.27.09.2024.</t>
  </si>
  <si>
    <t>Being the amount paid to partha sarathi Thakur prop. of Saraswati Vidya Bhandar, through NEFT Chq. No.052128 towards purchased of  stationary for office use. Vide Bill No.78 dtd.07.10.2024</t>
  </si>
  <si>
    <t>Pv. No.94</t>
  </si>
  <si>
    <t>Being the amount paid to  Ravi Shankar Behera,RP through NEFT Chq. No.052127 towards Resource person Honorarium cost on  Staff Capacity Building on Leadership &amp; Thematic Training on dtd.26 &amp; 27.09.2024 held at, DAPTA office,Thakurmunda.</t>
  </si>
  <si>
    <t>Pv. No.95</t>
  </si>
  <si>
    <t>Being the amount deducted by bank towards  Bank commission charges.</t>
  </si>
  <si>
    <t>Being the amount deducted by bank towards  Bank Service charges.</t>
  </si>
  <si>
    <t>Pv.No.96</t>
  </si>
  <si>
    <t>16.10.2024</t>
  </si>
  <si>
    <t>Pv.No.97</t>
  </si>
  <si>
    <t>Being the Salary Paid to   Bitan Ku. Sharma,FC  through NEFT Chq Bearing No.052132 for the month of  Octo-2024.</t>
  </si>
  <si>
    <t>30.10.2024</t>
  </si>
  <si>
    <t>Pv. No.98</t>
  </si>
  <si>
    <t>Being the Salary Paid to   Umakanta Singh ,AFC  through NEFT Chq Bearing No.052132 for the month of  Octo-2024.</t>
  </si>
  <si>
    <t>Being the Salary Paid to   Sauna Hemram, SM through NEFT Chq Bearing No.052132 for the month of  Octo-2024.</t>
  </si>
  <si>
    <t>Being the Salary Paid to   Singraya Purti, SM through NEFT Chq Bearing No.052132 for the month of  Octo-2024.</t>
  </si>
  <si>
    <t>Being the Salary Paid to   Namita Mohanta, SM through NEFT Chq Bearing No.052132 for the month of  Octo-2024.</t>
  </si>
  <si>
    <t>Pv.No.98</t>
  </si>
  <si>
    <t>Being the Salary Paid to   Netrananda Pattnaik,Part Time Accountant through NEFT Chq Bearing No.052132 for the month of  Octo-2024.</t>
  </si>
  <si>
    <t>Being the Honorarium Paid to Aadarsh Sharma,PDthrough NEFT Chq Bearing No.052132 for the month of  Octo-2024.</t>
  </si>
  <si>
    <t>04.11.2024</t>
  </si>
  <si>
    <t>Pv.No.99</t>
  </si>
  <si>
    <t>Being the amount paid to Basant Kumar Paibarty through NEFT Chq. No. 052133 towards Office rent for the month of Octo-2024.</t>
  </si>
  <si>
    <t>Pv. No.100</t>
  </si>
  <si>
    <t>Being the amount paid to  Lijarani Barik prop. of Lijarani Traders,Thakurmunda through NEFT Chq. No.052134 towards purchased of Biscuits for participants of 06nos Monthly village community Meeting month of October-2024. Vide Bill No.066 dtd.30.10.2024</t>
  </si>
  <si>
    <t>Pv. No.101</t>
  </si>
  <si>
    <t>Being the amount paid to Narayan Barik,Prop. of Hotel Swagatika through NEFT Chq. No.052134 towards supply of Food for  on  Monthly Staff Reveiw &amp; Planning meeting Dtd.07.10.2024 held at. DAPTA,Office,Thakurmunda. Vide bill No.1731 dtd.07.12.2024</t>
  </si>
  <si>
    <t>Pv. No.102</t>
  </si>
  <si>
    <t>Being the amount paid to Bitan Ku. Sharma,FC through NEFT Chq. No.052135 towards  Travel cost during field visit for the month of   Octo-2024.</t>
  </si>
  <si>
    <t>Pv. No.103</t>
  </si>
  <si>
    <t>Being the amount paid to Umakanta Singh,AFC through NEFT Chq. No.052135 towards  Travel cost during field visit for the month of   Octo-2024.</t>
  </si>
  <si>
    <t>Being the amount paid to Sauna Hembram, SM through NEFT Chq. No.052135 towards  Travel cost during field visit for the month of   Octo-2024.</t>
  </si>
  <si>
    <t>Being the amount paid to Singraya Purti, SM through NEFT Chq. No.052135 towards  Travel cost during field visit for the month of   Octo-2024.</t>
  </si>
  <si>
    <t>Being the amount paid to Namita Mohanta, SM through NEFT Chq. No.052135 towards  Travel cost during field visit for the month of   Octo-2024.</t>
  </si>
  <si>
    <t>Being the amount paid to Jagannath Sahu through NEFT Chq. No.052137 towards  Resouce person honorarium with travel Training on natural resource management dtd.08.11.24 held at.DAPTA Office ,Thakurmunda.</t>
  </si>
  <si>
    <t>12.11.2024</t>
  </si>
  <si>
    <t>Pv. No.105</t>
  </si>
  <si>
    <t>Pv No.106</t>
  </si>
  <si>
    <t>Being the amount paid to Ramasingh Badra,Prop. Of Barda Tour &amp; Travel through NEFT Chq. No.052137 towards hiring of 2no of vehicle for transportation participants on Training on natural resource management dtd.08.11.24 held at. DAPTA Office, Thakurmunda. Vide Bill No. 137 &amp;138 dtd.08.11.2024.</t>
  </si>
  <si>
    <t xml:space="preserve">Being the amount paid to Narayan Barik, Prop of. Hotel Swagatika through NEFT Chq. No.052138 towards supply of food for participants on Training on natural resource management dtd.08.11.2024 held at DAPTA,Thakurmunda. Vide Bill No.1743 dtd. 08.11.2024 </t>
  </si>
  <si>
    <t>Pv. No.107</t>
  </si>
  <si>
    <t xml:space="preserve">Being the amount paid to Narayan Barik, Prop of. Hotel Swagatika through NEFT Chq. No.052138 towards supply of food for participants on Staff Review Meeting on dtd.01.11.2024 held at DAPTA,Thakurmunda. Vide Bill No.1739 dtd. 01.11.2024 </t>
  </si>
  <si>
    <t>Being the amount paid to Baigyanik Mohanta Prop. of Gayatree Book store  through NEFT Chq. No.052138 towards purchased of Training materials for Participants on Training on natural resource management dtd.08.11.2024 held at. DAPTA Office, Thakurmunda. Vide Bill No.269 dtd.08.11.2024</t>
  </si>
  <si>
    <t>Pv No.108</t>
  </si>
  <si>
    <t>Being the amount paid to Narayan Barik through NEFT Chq. No.052139 towards supply of Food for Participants on Nutritional Kitchen Garden &amp; Commercial Vegetable on dtd.11.11.2024 held at.DAPTA Office, Thakurmunda. Vide Bill No. 1746 dtd.11.11.2024</t>
  </si>
  <si>
    <t>Pv. No.109</t>
  </si>
  <si>
    <t>Being the amount paid to Baigyanik Mohanta Prop. Of Gayatree Book Store through NEFT Chq. No.052139 towards Training Materials for Participants on Nutritional Kitchen Graden &amp; Commercial Vegetable on dtd.11.11.24 held at DAPTA Office, Thakurmunda. Vide Bill No.271 dtd.11.11.2024.</t>
  </si>
  <si>
    <t>13.11.2024</t>
  </si>
  <si>
    <t>Pv. No.110</t>
  </si>
  <si>
    <t>Being the amount paid to Ramasingh Badra Prop. Of . Badra Tour &amp; Travel through NEFT Chq. No.052140 towards hiring of 2no of vehicle for transportation  on Nutritional Kitchen Garden &amp; Commercial Vegetable on dtd. 11.11.2024 held at. DAPTA Office,Thakurmunda. Vid Bill No.139 &amp; 140  dtd.11.11.2024.</t>
  </si>
  <si>
    <t>Pv. No.111</t>
  </si>
  <si>
    <t>Being the amount paid to Narayan Barik Prop. Of .  Hotel Swagatika through NEFT Chq. No.052142 towards supply of Food for Participants on Improved agriculture Methods &amp; Technology Training on dtd.13.11.2024 held at. DAPTA Office, Thakurmunda. Vide Bill No. 1748 dtd.13.11.2024</t>
  </si>
  <si>
    <t xml:space="preserve">14.11.2024 </t>
  </si>
  <si>
    <t>Pv. No.112</t>
  </si>
  <si>
    <t>Being the amount paid to Baigyanik Mohanta Prop. Of Gayatree Book Store through NEFT Chq. No.052142 towards purchased of Training Materials for Participants on Improved agriculture Agriculture Methods &amp; Technology Training dtd.13.11.24 held at. DAPTA Office, Thakurmunda. Vide Bill no. 273 dtd. 13.11.2024</t>
  </si>
  <si>
    <t>14.11.2024</t>
  </si>
  <si>
    <t>Pv. No.113</t>
  </si>
  <si>
    <t>Being the amount paid to Ramasingh Badra, Prop. Of badra Tour &amp; travel through NEFT Chq. No.052143 towards hiring of 2no of vehicle for transportation  on Improved agriculture Agriculture methods &amp; Technology on dtd.13.11.24 held at. DAPTA Office, Thakurmunda.142 &amp; 143 dtd. 13.11.2024.</t>
  </si>
  <si>
    <t>Pv. No.114</t>
  </si>
  <si>
    <t>Being the Salary Paid to   Bitan Ku. Sharma,FC  through NEFT Chq Bearing No.052148 for the month of  Nov-2024.</t>
  </si>
  <si>
    <t>Being the Salary Paid to   Umakanta Singh ,AFC  through  NEFT Chq Bearing No.052148 for the month of  Nov-2024.</t>
  </si>
  <si>
    <t>30.11.2024</t>
  </si>
  <si>
    <t>Pv. No.115</t>
  </si>
  <si>
    <t>Being the Salary Paid to   Sauna Hemram, SM through NEFT Chq Bearing No.052148 for the month of  Nov-2024.</t>
  </si>
  <si>
    <t>Being the Salary Paid to   Singraya Purti, SM through NEFT Chq Bearing No.052148 for the month of  Nov-2024.</t>
  </si>
  <si>
    <t>Being the Salary Paid to   Namita Mohanta, SM through NEFT Chq Bearing No.052148 for the month of  Nov-2024.</t>
  </si>
  <si>
    <t>Pv.No.115</t>
  </si>
  <si>
    <t>Being the Salary Paid to   Netrananda Pattnaik,Part Time Accountant through NEFT Chq Bearing No.052148 for the month of  Nov-2024.</t>
  </si>
  <si>
    <t>Being the Honorarium Paid to Aadarsh Sharma,PDthrough NEFT Chq Bearing No.052148 for the month of  Nov-2024.</t>
  </si>
  <si>
    <t>Being the amount paid to Basant Kumar Paibarty through NEFT Chq. No. 052149 towards Office rent for the month of Nov-2024.</t>
  </si>
  <si>
    <t>Pv. No.116</t>
  </si>
  <si>
    <t>Being the amount paid to  Lijarani Barik prop. of Lijarani Traders,Thakurmunda through NEFT Chq. No.052150 towards purchased of Biscuits for participants of 06nos Monthly village community Meeting month of November-2024. Vide Bill No. 071 dtd. 02.11.2024</t>
  </si>
  <si>
    <t>Pv. No.117</t>
  </si>
  <si>
    <t>Pv. No.118</t>
  </si>
  <si>
    <t>Being the amount paid to Narayan Barik  Prop. Of Hotel Swagatika through NEFT Chq. No.052150 towards supply of Food for Participants on two nos of  Laisioning with Government Offices Prog held at.Karanjia dtd.26.11.24. Vide Bill No. 1751 dtd. 26.11.2024</t>
  </si>
  <si>
    <t>Being the amount paid to Narayan Barik through NEFT Chq. No.052150 towards supply of Food for Participants on two nos of  Laisioning with Government Offices Prog held at.Karanjia dtd.28.11.24.Vide Bill No. 1753 dtd. 28.11.2024</t>
  </si>
  <si>
    <t>Being the amount paid to  Ramasingh Badra Prop. of Badra Tour &amp; Travel through NEFT Chq. No.052051 towards hiring of 02nos Vehicles for Participants on two nos of  Laisioning with Government Offices Prog held at.Karanjia dtd.26.11.24 &amp; 28.11.24. Vide Bill No.146,147 dtd. 26.11.2024 &amp; 148, 149 dtd. 28.11.2024.</t>
  </si>
  <si>
    <t>Pv. No.119</t>
  </si>
  <si>
    <t>Being the amount paid to Bitan Ku. Sharma,FC through NEFT Chq. No.052052 towards  Travel cost during field visit for the month of   Nov-2024.</t>
  </si>
  <si>
    <t>Being the amount paid to Umakanta Singh,AFC through NEFT Chq. No.052052 towards  Travel cost during field visit for the month of   Nov-2024.</t>
  </si>
  <si>
    <t>Pv. No.120</t>
  </si>
  <si>
    <t>Being the amount paid to Sauna Hembram, SM through NEFT Chq. No.052052 towards  Travel cost during field visit for the month of   Nov-2024.</t>
  </si>
  <si>
    <t>Being the amount paid to Singraya Purti, SM through NEFT Chq. No.052052 towards  Travel cost during field visit for the month of   Nov-2024.</t>
  </si>
  <si>
    <t>Being the amount paid to Namita Mohanta, SM through NEFT Chq. No.052052 towards  Travel cost during field visit for the month of   Nov-2024.</t>
  </si>
  <si>
    <t>Being the amount paid to Geetajali Das, SM through NEFT Chq. No.052052 towards  Travel cost during field visit for the month of  Octo-2024 &amp;  Nov-2024.</t>
  </si>
  <si>
    <t>Being the amount paid toRamasingh Badra Prop. of Badra tour &amp; travel  through NEFT Chq. No.052024 towards Hiring a Vehicle for Participants on Staff Exposure visit ob dtd.05.12.24 Held at. Rengali,Sambalpur. Vide Bill No. 153 dtd. 07.12.2024</t>
  </si>
  <si>
    <t>09.12.2024</t>
  </si>
  <si>
    <t>Pv. No. 121</t>
  </si>
  <si>
    <t>Being the amount paid toRamasingh Badra Prop. of Badra tour &amp; travel  through NEFT Chq. No.052024 towards Hiring  2nos of  Vehicle for Participants on r Trng on Improved  Agriculture  dtd.29.11.24. held at. DAPTA office, Thakurmunda. Vide Bill No.150&amp; 151 dtd. 29.11.2024.</t>
  </si>
  <si>
    <t>Pv. No.121</t>
  </si>
  <si>
    <t>Pv. No. 122</t>
  </si>
  <si>
    <t>Being the amount paid to Hotel Royal Galaxy through NEFT Chq. No.052024 towards accomdation &amp; food cost for  participants  on staff Exposure visit on dtd.05.12.2024 held at. RengaliSambalpur (food rs.5640/- &amp; Accomdation Rs.9600/-) Vide Bill No.475 dtd. 06.12.2024 &amp; 477 dtd.06.12.2024.</t>
  </si>
  <si>
    <t>Being the amount paid to Baigyanik Mohanta Prop. Of Gayatree Book Store through NEFT Chq. No.052055 towards  purchased of Training Materials for Participants on Improved agriculture Agriculture Methods &amp; Technology Training dtd.29.11.2024 held at. DAPTA Office, Thakurmunda. Vide Bill No.281 dtd. 29.11.2024.</t>
  </si>
  <si>
    <t>Pv. No.123</t>
  </si>
  <si>
    <t>Being the amount paid to Narayan Barik  Prop. Of .Hotel Swagatika  through NEFT Chq. No.052055 towards supply of Food for Participants on Improved agriculture Methods &amp; Technology Training on dtd.29.11.2024 held at. DAPTA Office, Thakurmunda Vide Bill No.1754 dtd. 29.11.2024.</t>
  </si>
  <si>
    <t>Pv. No.124</t>
  </si>
  <si>
    <t>Pv. No.126</t>
  </si>
  <si>
    <t>21.12.2024</t>
  </si>
  <si>
    <t>13.12.2024</t>
  </si>
  <si>
    <t>Being the amount paid to Baigyanik Mohanta Prop. Of  Gayatree Book store  through NEFT Chq. No.052059 towards purchased of trng materials  on Need based Training on Income Generation Activity on dtd.13.12.24 held at.DAPTA Office, Thakurmunda. Vide Bill 286 dtd. 13.12.2024.</t>
  </si>
  <si>
    <t>Being the amount paid to Baigyanik Mohanta Prop. Of  Gayatree Book store  through NEFT Chq. No.052059 towards purchased of trng materials  on Training to the CBOs dtd.18.12.24 held at DAPTA Office, Thakurmunda. Vide Bill No. 289 dtd.18.12.2024</t>
  </si>
  <si>
    <t>Being the amount paid to  Baigyanik Mohanta Prop. Of Gayatree Book store  through NEFT Chq. No.052059 towards purchased of trng materials  on  Nutritional Kitchen Garden  on dtd.09.12.24DAPTA Office, Thakurmunda. Vide Bill No.283 dtd.09.12.2024</t>
  </si>
  <si>
    <t>Being the amount paid to Suvendu Barik, Prop of. Hotel Suvendu through NEFT Chq. No.052059 towards supply of food for participants on Training to the CBOs  on dtd.18.12.24 Held at. DAPTA office, Thakurmunda. Vide Bill No. 72 dtd.18.12.22024</t>
  </si>
  <si>
    <t>Pv. No.127</t>
  </si>
  <si>
    <t>Being the amount paid to Suvendu Barik, Prop of. Hotel Suvendu through NEFT Chq. No.052059 towards supply of food for participants on Need based training on Income Generation activity on dtd.13.12.24 held at. DAPTA Office, Thakurmunda. Vide Bill No.70 dtd.13.12.2024.</t>
  </si>
  <si>
    <t>Pv.No.127</t>
  </si>
  <si>
    <t>21.12..2024</t>
  </si>
  <si>
    <t>Being the amount paid to Suvendu Barik, Prop of. Hotel Suvendu through NEFT Chq. No.052059 towards supply of food for participants on Nutritional Kitchen Garden &amp; Commercial Vegetable on dtd.09.12.24 held at. DAPTA office,Thakurmunda vide bill no.67 dtd.09.12.2024</t>
  </si>
  <si>
    <t>Being the amount paid to Jandai Hembram Prop. Of Hembram tour &amp; Travels  through NEFT Chq. No.052059 towards hiring of 2no of vehicle for transportation participants on Training to the CBOs dtd. 18.12.24 held at DAPTA office,Thakurmunda. Vide Bill No.278 &amp;279 dtd.18.12.2024.</t>
  </si>
  <si>
    <t>Pv. No.128</t>
  </si>
  <si>
    <t>Being the amount paid to Jandai Hembram Prop. Of Hembram tour &amp; Travels  through NEFT Chq. No.052059 towards hiring of 2no of vehicle for transportation participants on Need based training on Income Generation activity dtd.13.12.24  held at.DAPTA Office, Thakurmunda. Vide Bill No.275 &amp;276 dtd.13.12.2024.</t>
  </si>
  <si>
    <t>Being the amount paid to Jandai Hembram Prop. Of Hembram tour &amp; Travels  through NEFT Chq. No.052059 towards hiring of 2no of vehicle for transportation participants on Nutritional Kitchen Garden &amp; Commercial Vegetable on dtd. 09.12.2024  held at.DAPTA Office, Thakurmunda. Vide Bill No.271 &amp;272 dtd.09.12.2024.</t>
  </si>
  <si>
    <t>Pv. No.129</t>
  </si>
  <si>
    <t>Being the amount paid to Narayan Barik, Prop of. Hotel Swagatika through NEFT Chq. No.0452059 towards supply of food for R.P on Need based training on Income Generation activity  dtd.13.12.2024 held at. Dapta office, Thakurmunda Vide Bill No.69 dtd.13.12.2024</t>
  </si>
  <si>
    <t>Being the amount paid to Narayan Barik, Prop of. Hotel Swagatika through NEFT Chq. No.0452059 towards supply of food for R.P on Training to the CBOs dtd.18.12.2024 held at. Dapta office, Thakurmunda Vide Bill No.73 dtd.18.12.2024</t>
  </si>
  <si>
    <t>Pv.No.129</t>
  </si>
  <si>
    <t>Being the amount paid to Ramani ranjan Ojha through NEFT Chq. no.052060 towards resource person honorarium with Travel cost  for Training to the CBOs on dtd.18.12.24  held at. DAPTA office, Thakurmunda.</t>
  </si>
  <si>
    <t>Pv. No. 130</t>
  </si>
  <si>
    <t>Being the amount paid to Dillip Kumar Jena,RP through NEFT Chq. No.052060 towards Resource person Honorarium &amp; Travel cost on Need Based Training on Income Generation activities like Fish Cultivation  on dtd.21.12.2024 held at, DAPTA office,thakurmund</t>
  </si>
  <si>
    <t>Pv.No.131</t>
  </si>
  <si>
    <t>Being the Salary Paid to   Bitan Ku. Sharma,FC  through NEFT Chq Bearing No.052062 for the month of  Dec-2024.</t>
  </si>
  <si>
    <t>30.12.2024</t>
  </si>
  <si>
    <t>Pv. No.132</t>
  </si>
  <si>
    <t>Being the Salary Paid to   Umakanta Singh ,AFC  through  NEFT Chq Bearing No.052062 for the month of  Dec-2024.</t>
  </si>
  <si>
    <t>Being the Salary Paid to   Geetajali Das, SM through NEFT Chq Bearing No.052132 for the month of  Octo-2024.( Paid only 17days dtd.01.10.2024 to 17.10.2024)</t>
  </si>
  <si>
    <t>Being the Salary Paid to   Geetajali Das, SM through NEFT Chq Bearing No.052148 for the month of  Nov-2024.</t>
  </si>
  <si>
    <t>Being the Salary Paid to   Namita Mohanta, SM through NEFT Chq Bearing No.052062 for the month of  Dec-2024.</t>
  </si>
  <si>
    <t>Being the Salary Paid to   Geetajali Das, SM through NEFT Chq Bearing No.052062 for the month of  Dec-2024.</t>
  </si>
  <si>
    <t>Pv.No.132</t>
  </si>
  <si>
    <t>Being the Salary Paid to   Netrananda Pattnaik,Part Time Accountant through NEFT Chq Bearing No.052062 for the month of  Dec-2024.</t>
  </si>
  <si>
    <t>Being the Honorarium Paid to Aadarsh Sharma,PDthrough NEFT Chq Bearing No.052062 for the month of  Dec-2024.</t>
  </si>
  <si>
    <t>Being the amount paid to Bitan Ku. Sharma,FC through NEFT Chq. No.052063 towards  Travel cost during field visit for the month of   Dec-2024.</t>
  </si>
  <si>
    <t>Pv. No.133</t>
  </si>
  <si>
    <t>Being the amount paid to Umakanta Singh,AFC through NEFT Chq. No.052063 towards  Travel cost during field visit for the month of   Dec-2024.</t>
  </si>
  <si>
    <t>Being the amount paid to Sauna Hembram, SM through NEFT Chq. No.052063 towards  Travel cost during field visit for the month of   Dec-2024.</t>
  </si>
  <si>
    <t>Being the amount paid to Namita Mohanta, SM through NEFT Chq. No.0520052063 towards  Travel cost during field visit for the month of   Dec-2024.</t>
  </si>
  <si>
    <t>Being the amount paid to Geetajali Das, SM through NEFT Chq. No.052063 towards  Travel cost during field visit for the month of   Dec-2024.</t>
  </si>
  <si>
    <t>31.12.2024</t>
  </si>
  <si>
    <t>Being the amount paid to  Lijarani Barik prop. of Lijarani Traders,Thakurmunda through NEFT Chq. No.052064 towards purchased of Biscuits for participants of 06nos Monthly village community Meeting month of Dec-2024. Vide Bill No. 073 dtd. 30.12.2024</t>
  </si>
  <si>
    <t>Pv. No.134</t>
  </si>
  <si>
    <t>Being the amount paid to Narayan Barik, Prop of. Hotel Swagatika through NEFT Chq. No.052064 towards supply of food for participants on  Staff Review Meeting  on dtd.02.12.2024 held at. DAPTA office, Thakurmunda. Vide Bill No.1758 dtd.01.12.2024</t>
  </si>
  <si>
    <t>Pv. No.135</t>
  </si>
  <si>
    <t>Being the amount paid to Basant Kumar Paibarty through NEFT Chq. No. 052065 towards Office rent for the month of December-2024.</t>
  </si>
  <si>
    <t>Pv. No.136</t>
  </si>
  <si>
    <t>Being the Salary of  Singraya Purti, SM  Paid to Her Wife Mrs, Sheela Purty through NEFT Chq Bearing No.052065 for the month of  Dec-2024.( 01.12.2024 to 22.12.2024 22days)</t>
  </si>
  <si>
    <t>Pv. No.137</t>
  </si>
  <si>
    <t>Being the amount paid to Mrs. Sheela Purty ( Wife of Late. Singraya Purti, SM) through NEFT Chq. No.052064 towards  Travel cost during field visit for the month of   Dec-2024. (22days)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</si>
</sst>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_(* #,##0.00_);_(* \(#,##0.00\);_(* \-??_);_(@_)"/>
    <numFmt numFmtId="166" formatCode="_(\$* #,##0.00_);_(\$* \(#,##0.00\);_(\$* \-??_);_(@_)"/>
    <numFmt numFmtId="167" formatCode="[$$-409]#,##0.00;[Red]\-[$$-409]#,##0.00"/>
    <numFmt numFmtId="168" formatCode="_(* #,##0_);_(* \(#,##0\);_(* \-??_);_(@_)"/>
    <numFmt numFmtId="169" formatCode="0.0"/>
    <numFmt numFmtId="170" formatCode="_ * #,##0.00_ ;_ * \-#,##0.00_ ;_ * \-??_ ;_ @_ "/>
    <numFmt numFmtId="171" formatCode="_ * #,##0_ ;_ * \-#,##0_ ;_ * \-??_ ;_ @_ "/>
    <numFmt numFmtId="172" formatCode="&quot;₹ &quot;#,##0"/>
    <numFmt numFmtId="173" formatCode="0.0%"/>
    <numFmt numFmtId="174" formatCode="m/d/yyyy"/>
    <numFmt numFmtId="175" formatCode="d\-mmm\-yy"/>
  </numFmts>
  <fonts count="69" x14ac:knownFonts="1">
    <font>
      <sz val="11"/>
      <color theme="1"/>
      <name val="Calibri"/>
      <family val="2"/>
      <charset val="1"/>
    </font>
    <font>
      <sz val="10"/>
      <name val="Arial"/>
      <family val="2"/>
      <charset val="1"/>
    </font>
    <font>
      <sz val="10"/>
      <name val="Times New Roman"/>
      <family val="1"/>
      <charset val="1"/>
    </font>
    <font>
      <b/>
      <sz val="10"/>
      <name val="Times New Roman"/>
      <family val="1"/>
      <charset val="1"/>
    </font>
    <font>
      <b/>
      <sz val="10"/>
      <color rgb="FF000000"/>
      <name val="Times New Roman"/>
      <family val="1"/>
      <charset val="1"/>
    </font>
    <font>
      <b/>
      <sz val="10"/>
      <color rgb="FFFF0000"/>
      <name val="Times New Roman"/>
      <family val="1"/>
      <charset val="1"/>
    </font>
    <font>
      <b/>
      <sz val="8"/>
      <color theme="1" tint="4.9897762993255407E-2"/>
      <name val="Times New Roman"/>
      <family val="1"/>
      <charset val="1"/>
    </font>
    <font>
      <b/>
      <sz val="12"/>
      <color theme="1" tint="4.9897762993255407E-2"/>
      <name val="Times New Roman"/>
      <family val="1"/>
      <charset val="1"/>
    </font>
    <font>
      <sz val="8"/>
      <color theme="1"/>
      <name val="Times New Roman"/>
      <family val="1"/>
      <charset val="1"/>
    </font>
    <font>
      <b/>
      <sz val="12"/>
      <name val="Times New Roman"/>
      <family val="1"/>
      <charset val="1"/>
    </font>
    <font>
      <sz val="8"/>
      <color theme="1" tint="4.9897762993255407E-2"/>
      <name val="Times New Roman"/>
      <family val="1"/>
      <charset val="1"/>
    </font>
    <font>
      <sz val="8"/>
      <name val="Times New Roman"/>
      <family val="1"/>
      <charset val="1"/>
    </font>
    <font>
      <sz val="10"/>
      <color rgb="FF000000"/>
      <name val="Times New Roman"/>
      <family val="1"/>
      <charset val="1"/>
    </font>
    <font>
      <b/>
      <sz val="12"/>
      <color rgb="FF000000"/>
      <name val="Times New Roman"/>
      <family val="1"/>
      <charset val="1"/>
    </font>
    <font>
      <i/>
      <sz val="10"/>
      <name val="Times New Roman"/>
      <family val="1"/>
      <charset val="1"/>
    </font>
    <font>
      <sz val="12"/>
      <name val="Times New Roman"/>
      <family val="1"/>
      <charset val="1"/>
    </font>
    <font>
      <i/>
      <sz val="10"/>
      <color rgb="FF000000"/>
      <name val="Times New Roman"/>
      <family val="1"/>
      <charset val="1"/>
    </font>
    <font>
      <b/>
      <sz val="12"/>
      <color theme="1"/>
      <name val="Times New Roman"/>
      <family val="1"/>
      <charset val="1"/>
    </font>
    <font>
      <u/>
      <sz val="10"/>
      <name val="Times New Roman"/>
      <family val="1"/>
      <charset val="1"/>
    </font>
    <font>
      <sz val="10"/>
      <color theme="4"/>
      <name val="Times New Roman"/>
      <family val="1"/>
      <charset val="1"/>
    </font>
    <font>
      <sz val="9"/>
      <color theme="1"/>
      <name val="Segoe UI"/>
      <family val="2"/>
      <charset val="1"/>
    </font>
    <font>
      <sz val="10"/>
      <color theme="1"/>
      <name val="Times New Roman"/>
      <family val="1"/>
      <charset val="1"/>
    </font>
    <font>
      <b/>
      <strike/>
      <sz val="12"/>
      <name val="Times New Roman"/>
      <family val="1"/>
      <charset val="1"/>
    </font>
    <font>
      <strike/>
      <sz val="12"/>
      <name val="Times New Roman"/>
      <family val="1"/>
      <charset val="1"/>
    </font>
    <font>
      <strike/>
      <sz val="10"/>
      <color rgb="FF000000"/>
      <name val="Times New Roman"/>
      <family val="1"/>
      <charset val="1"/>
    </font>
    <font>
      <strike/>
      <sz val="10"/>
      <color theme="4"/>
      <name val="Times New Roman"/>
      <family val="1"/>
      <charset val="1"/>
    </font>
    <font>
      <i/>
      <strike/>
      <sz val="10"/>
      <color rgb="FF000000"/>
      <name val="Times New Roman"/>
      <family val="1"/>
      <charset val="1"/>
    </font>
    <font>
      <strike/>
      <sz val="10"/>
      <name val="Times New Roman"/>
      <family val="1"/>
      <charset val="1"/>
    </font>
    <font>
      <b/>
      <sz val="11"/>
      <color rgb="FFFFFF00"/>
      <name val="Times New Roman"/>
      <family val="1"/>
      <charset val="1"/>
    </font>
    <font>
      <sz val="12"/>
      <color theme="1"/>
      <name val="Times New Roman"/>
      <family val="1"/>
      <charset val="1"/>
    </font>
    <font>
      <sz val="8"/>
      <color rgb="FF000000"/>
      <name val="Times New Roman"/>
      <family val="1"/>
      <charset val="1"/>
    </font>
    <font>
      <sz val="12"/>
      <color rgb="FF000000"/>
      <name val="Times New Roman"/>
      <family val="1"/>
      <charset val="1"/>
    </font>
    <font>
      <sz val="10"/>
      <color rgb="FFFF0000"/>
      <name val="Times New Roman"/>
      <family val="1"/>
      <charset val="1"/>
    </font>
    <font>
      <b/>
      <sz val="10"/>
      <color rgb="FFFFFFFF"/>
      <name val="Times New Roman"/>
      <family val="1"/>
      <charset val="1"/>
    </font>
    <font>
      <b/>
      <i/>
      <sz val="10"/>
      <name val="Times New Roman"/>
      <family val="1"/>
      <charset val="1"/>
    </font>
    <font>
      <b/>
      <u/>
      <sz val="10"/>
      <name val="Times New Roman"/>
      <family val="1"/>
      <charset val="1"/>
    </font>
    <font>
      <sz val="10"/>
      <name val="Arial"/>
      <family val="2"/>
    </font>
    <font>
      <sz val="9"/>
      <color rgb="FF000000"/>
      <name val="Tahoma"/>
      <family val="2"/>
      <charset val="1"/>
    </font>
    <font>
      <b/>
      <sz val="12"/>
      <color theme="1"/>
      <name val="Calibri"/>
      <family val="2"/>
      <charset val="1"/>
    </font>
    <font>
      <b/>
      <sz val="9"/>
      <name val="Tahoma"/>
      <family val="2"/>
      <charset val="1"/>
    </font>
    <font>
      <b/>
      <sz val="11"/>
      <color theme="1"/>
      <name val="Calibri"/>
      <family val="2"/>
      <charset val="1"/>
    </font>
    <font>
      <u/>
      <sz val="11"/>
      <color theme="10"/>
      <name val="Calibri"/>
      <family val="2"/>
      <charset val="1"/>
    </font>
    <font>
      <b/>
      <sz val="10"/>
      <name val="Arial"/>
      <family val="2"/>
      <charset val="1"/>
    </font>
    <font>
      <b/>
      <sz val="10"/>
      <name val="Tahoma"/>
      <family val="2"/>
      <charset val="1"/>
    </font>
    <font>
      <b/>
      <sz val="8"/>
      <color theme="1"/>
      <name val="Tahoma"/>
      <family val="2"/>
      <charset val="1"/>
    </font>
    <font>
      <sz val="8"/>
      <color theme="1"/>
      <name val="Tahoma"/>
      <family val="2"/>
      <charset val="1"/>
    </font>
    <font>
      <sz val="8"/>
      <name val="Tahoma"/>
      <family val="2"/>
      <charset val="1"/>
    </font>
    <font>
      <b/>
      <sz val="9"/>
      <color rgb="FF000000"/>
      <name val="Times New Roman"/>
      <family val="1"/>
      <charset val="1"/>
    </font>
    <font>
      <sz val="9"/>
      <color rgb="FF000000"/>
      <name val="Times New Roman"/>
      <family val="1"/>
      <charset val="1"/>
    </font>
    <font>
      <b/>
      <sz val="9"/>
      <name val="Times New Roman"/>
      <family val="1"/>
      <charset val="1"/>
    </font>
    <font>
      <sz val="9"/>
      <name val="Times New Roman"/>
      <family val="1"/>
      <charset val="1"/>
    </font>
    <font>
      <b/>
      <sz val="9"/>
      <color theme="1"/>
      <name val="Times New Roman"/>
      <family val="1"/>
      <charset val="1"/>
    </font>
    <font>
      <sz val="9"/>
      <color theme="1"/>
      <name val="Times New Roman"/>
      <family val="1"/>
      <charset val="1"/>
    </font>
    <font>
      <b/>
      <sz val="10"/>
      <color rgb="FF000000"/>
      <name val="Tahoma"/>
      <family val="2"/>
      <charset val="1"/>
    </font>
    <font>
      <b/>
      <sz val="8"/>
      <color rgb="FF000000"/>
      <name val="Tahoma"/>
      <family val="2"/>
      <charset val="1"/>
    </font>
    <font>
      <sz val="10"/>
      <color theme="1"/>
      <name val="Tahoma"/>
      <family val="2"/>
      <charset val="1"/>
    </font>
    <font>
      <b/>
      <sz val="10"/>
      <color rgb="FFFF0000"/>
      <name val="Tahoma"/>
      <family val="2"/>
      <charset val="1"/>
    </font>
    <font>
      <b/>
      <sz val="9"/>
      <color theme="1"/>
      <name val="Calibri"/>
      <family val="2"/>
      <charset val="1"/>
    </font>
    <font>
      <sz val="9"/>
      <color theme="1" tint="4.9897762993255407E-2"/>
      <name val="Tahoma"/>
      <family val="2"/>
      <charset val="1"/>
    </font>
    <font>
      <b/>
      <sz val="10"/>
      <color theme="1"/>
      <name val="Times New Roman"/>
      <family val="1"/>
      <charset val="1"/>
    </font>
    <font>
      <sz val="11"/>
      <color theme="1"/>
      <name val="Calibri"/>
      <family val="2"/>
      <charset val="1"/>
    </font>
    <font>
      <sz val="9"/>
      <color indexed="81"/>
      <name val="Tahoma"/>
      <family val="2"/>
    </font>
    <font>
      <b/>
      <sz val="9"/>
      <color indexed="81"/>
      <name val="Tahoma"/>
      <family val="2"/>
    </font>
    <font>
      <sz val="10"/>
      <color rgb="FF000000"/>
      <name val="Times New Roman"/>
      <family val="1"/>
    </font>
    <font>
      <b/>
      <sz val="11"/>
      <name val="Calibri"/>
      <family val="2"/>
    </font>
    <font>
      <sz val="10"/>
      <color theme="1"/>
      <name val="Times New Roman"/>
      <family val="1"/>
    </font>
    <font>
      <sz val="11"/>
      <color rgb="FFFF0000"/>
      <name val="Times New Roman"/>
      <family val="1"/>
      <charset val="1"/>
    </font>
    <font>
      <b/>
      <sz val="11"/>
      <color rgb="FF000000"/>
      <name val="Times New Roman"/>
      <family val="1"/>
      <charset val="1"/>
    </font>
    <font>
      <b/>
      <sz val="11"/>
      <color theme="1"/>
      <name val="Times New Roman"/>
      <family val="1"/>
      <charset val="1"/>
    </font>
  </fonts>
  <fills count="42">
    <fill>
      <patternFill patternType="none"/>
    </fill>
    <fill>
      <patternFill patternType="gray125"/>
    </fill>
    <fill>
      <patternFill patternType="solid">
        <fgColor theme="0"/>
        <bgColor rgb="FFFFF2CC"/>
      </patternFill>
    </fill>
    <fill>
      <patternFill patternType="solid">
        <fgColor theme="8"/>
        <bgColor rgb="FF8EA9DB"/>
      </patternFill>
    </fill>
    <fill>
      <patternFill patternType="solid">
        <fgColor theme="7" tint="0.79989013336588644"/>
        <bgColor rgb="FFFBE5D6"/>
      </patternFill>
    </fill>
    <fill>
      <patternFill patternType="solid">
        <fgColor rgb="FF47D9D9"/>
        <bgColor rgb="FF66FFFF"/>
      </patternFill>
    </fill>
    <fill>
      <patternFill patternType="solid">
        <fgColor theme="8" tint="0.79989013336588644"/>
        <bgColor rgb="FFE2F0D9"/>
      </patternFill>
    </fill>
    <fill>
      <patternFill patternType="solid">
        <fgColor theme="5" tint="0.79989013336588644"/>
        <bgColor rgb="FFFFF2CC"/>
      </patternFill>
    </fill>
    <fill>
      <patternFill patternType="solid">
        <fgColor theme="9" tint="0.79989013336588644"/>
        <bgColor rgb="FFDEEBF7"/>
      </patternFill>
    </fill>
    <fill>
      <patternFill patternType="solid">
        <fgColor rgb="FF934BC9"/>
        <bgColor rgb="FF8F45C7"/>
      </patternFill>
    </fill>
    <fill>
      <patternFill patternType="solid">
        <fgColor rgb="FF66FFFF"/>
        <bgColor rgb="FF66FF99"/>
      </patternFill>
    </fill>
    <fill>
      <patternFill patternType="solid">
        <fgColor theme="5"/>
        <bgColor rgb="FFF4B084"/>
      </patternFill>
    </fill>
    <fill>
      <patternFill patternType="solid">
        <fgColor rgb="FFFFC000"/>
        <bgColor rgb="FFFFD966"/>
      </patternFill>
    </fill>
    <fill>
      <patternFill patternType="solid">
        <fgColor rgb="FF00B0F0"/>
        <bgColor rgb="FF47D9D9"/>
      </patternFill>
    </fill>
    <fill>
      <patternFill patternType="solid">
        <fgColor rgb="FFFFFF00"/>
        <bgColor rgb="FFFFD966"/>
      </patternFill>
    </fill>
    <fill>
      <patternFill patternType="solid">
        <fgColor rgb="FF92D050"/>
        <bgColor rgb="FFA9D18E"/>
      </patternFill>
    </fill>
    <fill>
      <patternFill patternType="solid">
        <fgColor theme="8" tint="0.59987182226020086"/>
        <bgColor rgb="FFB4C7E7"/>
      </patternFill>
    </fill>
    <fill>
      <patternFill patternType="solid">
        <fgColor rgb="FF66FF99"/>
        <bgColor rgb="FF66FFFF"/>
      </patternFill>
    </fill>
    <fill>
      <patternFill patternType="solid">
        <fgColor rgb="FFCC66FF"/>
        <bgColor rgb="FFDB6FD1"/>
      </patternFill>
    </fill>
    <fill>
      <patternFill patternType="solid">
        <fgColor theme="7" tint="0.39988402966399123"/>
        <bgColor rgb="FFFFE699"/>
      </patternFill>
    </fill>
    <fill>
      <patternFill patternType="solid">
        <fgColor theme="4" tint="0.39988402966399123"/>
        <bgColor rgb="FF8EA9DB"/>
      </patternFill>
    </fill>
    <fill>
      <patternFill patternType="solid">
        <fgColor theme="5" tint="0.59987182226020086"/>
        <bgColor rgb="FFFFE699"/>
      </patternFill>
    </fill>
    <fill>
      <patternFill patternType="solid">
        <fgColor rgb="FFF46CDA"/>
        <bgColor rgb="FFDB6FD1"/>
      </patternFill>
    </fill>
    <fill>
      <patternFill patternType="solid">
        <fgColor rgb="FF8F45C7"/>
        <bgColor rgb="FF934BC9"/>
      </patternFill>
    </fill>
    <fill>
      <patternFill patternType="solid">
        <fgColor theme="7" tint="0.59987182226020086"/>
        <bgColor rgb="FFFFF2CC"/>
      </patternFill>
    </fill>
    <fill>
      <patternFill patternType="solid">
        <fgColor theme="9" tint="0.59987182226020086"/>
        <bgColor rgb="FFBDD7EE"/>
      </patternFill>
    </fill>
    <fill>
      <patternFill patternType="solid">
        <fgColor rgb="FF7030A0"/>
        <bgColor rgb="FF8F45C7"/>
      </patternFill>
    </fill>
    <fill>
      <patternFill patternType="solid">
        <fgColor theme="5" tint="0.39988402966399123"/>
        <bgColor rgb="FFF4B084"/>
      </patternFill>
    </fill>
    <fill>
      <patternFill patternType="solid">
        <fgColor theme="4"/>
        <bgColor rgb="FF5B9BD5"/>
      </patternFill>
    </fill>
    <fill>
      <patternFill patternType="solid">
        <fgColor theme="9" tint="0.39988402966399123"/>
        <bgColor rgb="FFC5E0B4"/>
      </patternFill>
    </fill>
    <fill>
      <patternFill patternType="solid">
        <fgColor theme="8" tint="0.39988402966399123"/>
        <bgColor rgb="FFB4C7E7"/>
      </patternFill>
    </fill>
    <fill>
      <patternFill patternType="solid">
        <fgColor theme="4" tint="0.59987182226020086"/>
        <bgColor rgb="FF9DC3E6"/>
      </patternFill>
    </fill>
    <fill>
      <patternFill patternType="solid">
        <fgColor theme="3" tint="0.59987182226020086"/>
        <bgColor rgb="FF9DC3E6"/>
      </patternFill>
    </fill>
    <fill>
      <patternFill patternType="solid">
        <fgColor rgb="FFDB6FD1"/>
        <bgColor rgb="FFF46CDA"/>
      </patternFill>
    </fill>
    <fill>
      <patternFill patternType="solid">
        <fgColor rgb="FF8EA9DB"/>
        <bgColor rgb="FF8FAADC"/>
      </patternFill>
    </fill>
    <fill>
      <patternFill patternType="solid">
        <fgColor rgb="FFF4B084"/>
        <bgColor rgb="FFF4B183"/>
      </patternFill>
    </fill>
    <fill>
      <patternFill patternType="solid">
        <fgColor rgb="FFFF33CC"/>
        <bgColor rgb="FFF46CDA"/>
      </patternFill>
    </fill>
    <fill>
      <patternFill patternType="solid">
        <fgColor theme="0"/>
        <bgColor rgb="FFFFD966"/>
      </patternFill>
    </fill>
    <fill>
      <patternFill patternType="solid">
        <fgColor theme="0"/>
        <bgColor indexed="64"/>
      </patternFill>
    </fill>
    <fill>
      <patternFill patternType="solid">
        <fgColor rgb="FF00B0F0"/>
        <bgColor rgb="FFA9D18E"/>
      </patternFill>
    </fill>
    <fill>
      <patternFill patternType="solid">
        <fgColor rgb="FF92D050"/>
        <bgColor indexed="64"/>
      </patternFill>
    </fill>
    <fill>
      <patternFill patternType="solid">
        <fgColor rgb="FFFFFF00"/>
        <bgColor indexed="64"/>
      </patternFill>
    </fill>
  </fills>
  <borders count="2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style="medium">
        <color auto="1"/>
      </right>
      <top/>
      <bottom style="thin">
        <color auto="1"/>
      </bottom>
      <diagonal/>
    </border>
    <border>
      <left/>
      <right/>
      <top/>
      <bottom style="thin">
        <color auto="1"/>
      </bottom>
      <diagonal/>
    </border>
    <border>
      <left style="medium">
        <color auto="1"/>
      </left>
      <right style="medium">
        <color auto="1"/>
      </right>
      <top style="medium">
        <color auto="1"/>
      </top>
      <bottom/>
      <diagonal/>
    </border>
  </borders>
  <cellStyleXfs count="11">
    <xf numFmtId="0" fontId="0" fillId="0" borderId="0"/>
    <xf numFmtId="170" fontId="60" fillId="0" borderId="0" applyBorder="0" applyProtection="0"/>
    <xf numFmtId="9" fontId="60" fillId="0" borderId="0" applyBorder="0" applyProtection="0"/>
    <xf numFmtId="0" fontId="41" fillId="0" borderId="0" applyBorder="0" applyProtection="0"/>
    <xf numFmtId="165" fontId="60" fillId="0" borderId="0" applyBorder="0" applyProtection="0"/>
    <xf numFmtId="166" fontId="60" fillId="0" borderId="0" applyBorder="0" applyProtection="0"/>
    <xf numFmtId="0" fontId="1" fillId="0" borderId="0"/>
    <xf numFmtId="0" fontId="1" fillId="0" borderId="0"/>
    <xf numFmtId="0" fontId="1" fillId="0" borderId="0"/>
    <xf numFmtId="0" fontId="1" fillId="0" borderId="0"/>
    <xf numFmtId="9" fontId="60" fillId="0" borderId="0" applyBorder="0" applyProtection="0"/>
  </cellStyleXfs>
  <cellXfs count="635">
    <xf numFmtId="0" fontId="0" fillId="0" borderId="0" xfId="0"/>
    <xf numFmtId="0" fontId="2" fillId="0" borderId="0" xfId="6" applyFont="1" applyAlignment="1">
      <alignment vertical="top"/>
    </xf>
    <xf numFmtId="0" fontId="2" fillId="0" borderId="0" xfId="6" applyFont="1" applyAlignment="1">
      <alignment vertical="top" wrapText="1"/>
    </xf>
    <xf numFmtId="0" fontId="2" fillId="2" borderId="0" xfId="6" applyFont="1" applyFill="1" applyAlignment="1">
      <alignment vertical="top"/>
    </xf>
    <xf numFmtId="0" fontId="2" fillId="0" borderId="0" xfId="6" applyFont="1" applyAlignment="1" applyProtection="1">
      <alignment vertical="top"/>
      <protection locked="0"/>
    </xf>
    <xf numFmtId="0" fontId="3" fillId="0" borderId="0" xfId="6" applyFont="1" applyAlignment="1" applyProtection="1">
      <alignment vertical="top"/>
      <protection locked="0"/>
    </xf>
    <xf numFmtId="0" fontId="3" fillId="2" borderId="0" xfId="6" applyFont="1" applyFill="1" applyAlignment="1" applyProtection="1">
      <alignment vertical="top"/>
      <protection locked="0"/>
    </xf>
    <xf numFmtId="0" fontId="4" fillId="0" borderId="0" xfId="6" applyFont="1" applyAlignment="1" applyProtection="1">
      <alignment vertical="top"/>
      <protection locked="0"/>
    </xf>
    <xf numFmtId="0" fontId="4" fillId="2" borderId="0" xfId="6" applyFont="1" applyFill="1" applyAlignment="1" applyProtection="1">
      <alignment vertical="top"/>
      <protection locked="0"/>
    </xf>
    <xf numFmtId="0" fontId="4" fillId="0" borderId="0" xfId="6" applyFont="1" applyAlignment="1" applyProtection="1">
      <alignment vertical="top" wrapText="1"/>
      <protection locked="0"/>
    </xf>
    <xf numFmtId="3" fontId="4" fillId="0" borderId="0" xfId="6" applyNumberFormat="1" applyFont="1" applyAlignment="1">
      <alignment vertical="top"/>
    </xf>
    <xf numFmtId="3" fontId="4" fillId="2" borderId="0" xfId="6" applyNumberFormat="1" applyFont="1" applyFill="1" applyAlignment="1">
      <alignment vertical="top"/>
    </xf>
    <xf numFmtId="0" fontId="4" fillId="0" borderId="0" xfId="6" applyFont="1" applyAlignment="1" applyProtection="1">
      <alignment horizontal="left" vertical="top"/>
      <protection locked="0"/>
    </xf>
    <xf numFmtId="167" fontId="9" fillId="2" borderId="1" xfId="6" applyNumberFormat="1" applyFont="1" applyFill="1" applyBorder="1" applyAlignment="1">
      <alignment horizontal="center" vertical="top"/>
    </xf>
    <xf numFmtId="167" fontId="9" fillId="5" borderId="2" xfId="6" applyNumberFormat="1" applyFont="1" applyFill="1" applyBorder="1" applyAlignment="1">
      <alignment horizontal="center" vertical="top"/>
    </xf>
    <xf numFmtId="167" fontId="9" fillId="2" borderId="2" xfId="6" applyNumberFormat="1" applyFont="1" applyFill="1" applyBorder="1" applyAlignment="1">
      <alignment horizontal="center" vertical="top"/>
    </xf>
    <xf numFmtId="167" fontId="9" fillId="2" borderId="3" xfId="6" applyNumberFormat="1" applyFont="1" applyFill="1" applyBorder="1" applyAlignment="1">
      <alignment horizontal="center" vertical="top"/>
    </xf>
    <xf numFmtId="0" fontId="8" fillId="4" borderId="1" xfId="0" applyFont="1" applyFill="1" applyBorder="1" applyAlignment="1">
      <alignment vertical="top" wrapText="1"/>
    </xf>
    <xf numFmtId="0" fontId="8" fillId="4" borderId="1" xfId="0" applyFont="1" applyFill="1" applyBorder="1" applyAlignment="1">
      <alignment horizontal="center" vertical="top" wrapText="1"/>
    </xf>
    <xf numFmtId="3" fontId="10" fillId="4" borderId="1" xfId="6" applyNumberFormat="1" applyFont="1" applyFill="1" applyBorder="1" applyAlignment="1">
      <alignment horizontal="center" vertical="top" wrapText="1"/>
    </xf>
    <xf numFmtId="0" fontId="11" fillId="5" borderId="1" xfId="0" applyFont="1" applyFill="1" applyBorder="1" applyAlignment="1">
      <alignment horizontal="center" vertical="top" wrapText="1"/>
    </xf>
    <xf numFmtId="3" fontId="11" fillId="5" borderId="1" xfId="6" applyNumberFormat="1" applyFont="1" applyFill="1" applyBorder="1" applyAlignment="1">
      <alignment horizontal="center" vertical="top" wrapText="1"/>
    </xf>
    <xf numFmtId="3" fontId="11" fillId="8" borderId="1" xfId="6" applyNumberFormat="1" applyFont="1" applyFill="1" applyBorder="1" applyAlignment="1">
      <alignment horizontal="center" vertical="top" wrapText="1"/>
    </xf>
    <xf numFmtId="3" fontId="11" fillId="12" borderId="1" xfId="6" applyNumberFormat="1" applyFont="1" applyFill="1" applyBorder="1" applyAlignment="1">
      <alignment horizontal="center" vertical="top" wrapText="1"/>
    </xf>
    <xf numFmtId="0" fontId="11" fillId="13" borderId="1" xfId="0" applyFont="1" applyFill="1" applyBorder="1" applyAlignment="1">
      <alignment vertical="top" wrapText="1"/>
    </xf>
    <xf numFmtId="0" fontId="11" fillId="14" borderId="1" xfId="0" applyFont="1" applyFill="1" applyBorder="1" applyAlignment="1">
      <alignment vertical="top" wrapText="1"/>
    </xf>
    <xf numFmtId="0" fontId="11" fillId="15" borderId="1" xfId="0" applyFont="1" applyFill="1" applyBorder="1" applyAlignment="1">
      <alignment vertical="top" wrapText="1"/>
    </xf>
    <xf numFmtId="0" fontId="11" fillId="12" borderId="1" xfId="0" applyFont="1" applyFill="1" applyBorder="1" applyAlignment="1">
      <alignment vertical="top" wrapText="1"/>
    </xf>
    <xf numFmtId="0" fontId="11" fillId="16" borderId="1" xfId="0" applyFont="1" applyFill="1" applyBorder="1" applyAlignment="1">
      <alignment vertical="top" wrapText="1"/>
    </xf>
    <xf numFmtId="0" fontId="11" fillId="2" borderId="1" xfId="0" applyFont="1" applyFill="1" applyBorder="1" applyAlignment="1">
      <alignment vertical="top" wrapText="1"/>
    </xf>
    <xf numFmtId="0" fontId="8" fillId="6" borderId="1" xfId="0" applyFont="1" applyFill="1" applyBorder="1" applyAlignment="1">
      <alignment vertical="top" wrapText="1"/>
    </xf>
    <xf numFmtId="0" fontId="8" fillId="6" borderId="1" xfId="0" applyFont="1" applyFill="1" applyBorder="1" applyAlignment="1">
      <alignment horizontal="center" vertical="top" wrapText="1"/>
    </xf>
    <xf numFmtId="3" fontId="10" fillId="6" borderId="1" xfId="6" applyNumberFormat="1" applyFont="1" applyFill="1" applyBorder="1" applyAlignment="1">
      <alignment horizontal="center" vertical="top" wrapText="1"/>
    </xf>
    <xf numFmtId="3" fontId="10" fillId="2" borderId="1" xfId="6" applyNumberFormat="1" applyFont="1" applyFill="1" applyBorder="1" applyAlignment="1">
      <alignment horizontal="center" vertical="top" wrapText="1"/>
    </xf>
    <xf numFmtId="0" fontId="8" fillId="7" borderId="1" xfId="0" applyFont="1" applyFill="1" applyBorder="1" applyAlignment="1">
      <alignment vertical="top" wrapText="1"/>
    </xf>
    <xf numFmtId="0" fontId="8" fillId="7" borderId="1" xfId="0" applyFont="1" applyFill="1" applyBorder="1" applyAlignment="1">
      <alignment horizontal="center" vertical="top" wrapText="1"/>
    </xf>
    <xf numFmtId="3" fontId="10" fillId="7" borderId="1" xfId="6" applyNumberFormat="1" applyFont="1" applyFill="1" applyBorder="1" applyAlignment="1">
      <alignment horizontal="center" vertical="top" wrapText="1"/>
    </xf>
    <xf numFmtId="0" fontId="8" fillId="8" borderId="1" xfId="0" applyFont="1" applyFill="1" applyBorder="1" applyAlignment="1">
      <alignment horizontal="center" vertical="top" wrapText="1"/>
    </xf>
    <xf numFmtId="3" fontId="10" fillId="8" borderId="1" xfId="6" applyNumberFormat="1" applyFont="1" applyFill="1" applyBorder="1" applyAlignment="1">
      <alignment horizontal="center" vertical="top" wrapText="1"/>
    </xf>
    <xf numFmtId="0" fontId="2" fillId="17" borderId="1" xfId="6" applyFont="1" applyFill="1" applyBorder="1" applyAlignment="1" applyProtection="1">
      <alignment vertical="top" wrapText="1"/>
      <protection locked="0"/>
    </xf>
    <xf numFmtId="0" fontId="2" fillId="18" borderId="1" xfId="6" applyFont="1" applyFill="1" applyBorder="1" applyAlignment="1" applyProtection="1">
      <alignment vertical="top" wrapText="1"/>
      <protection locked="0"/>
    </xf>
    <xf numFmtId="0" fontId="2" fillId="13" borderId="1" xfId="6" applyFont="1" applyFill="1" applyBorder="1" applyAlignment="1" applyProtection="1">
      <alignment vertical="top" wrapText="1"/>
      <protection locked="0"/>
    </xf>
    <xf numFmtId="0" fontId="12" fillId="15" borderId="1" xfId="0" applyFont="1" applyFill="1" applyBorder="1" applyAlignment="1">
      <alignment vertical="top"/>
    </xf>
    <xf numFmtId="0" fontId="13" fillId="15" borderId="1" xfId="0" applyFont="1" applyFill="1" applyBorder="1" applyAlignment="1">
      <alignment horizontal="left" vertical="top" wrapText="1"/>
    </xf>
    <xf numFmtId="0" fontId="3" fillId="15" borderId="1" xfId="7" applyFont="1" applyFill="1" applyBorder="1" applyAlignment="1" applyProtection="1">
      <alignment vertical="top" wrapText="1"/>
      <protection locked="0"/>
    </xf>
    <xf numFmtId="0" fontId="3" fillId="15" borderId="1" xfId="7" applyFont="1" applyFill="1" applyBorder="1" applyAlignment="1" applyProtection="1">
      <alignment vertical="top"/>
      <protection locked="0"/>
    </xf>
    <xf numFmtId="0" fontId="2" fillId="15" borderId="1" xfId="6" applyFont="1" applyFill="1" applyBorder="1" applyAlignment="1" applyProtection="1">
      <alignment vertical="top" wrapText="1"/>
      <protection locked="0"/>
    </xf>
    <xf numFmtId="0" fontId="2" fillId="2" borderId="1" xfId="6" applyFont="1" applyFill="1" applyBorder="1" applyAlignment="1" applyProtection="1">
      <alignment vertical="top" wrapText="1"/>
      <protection locked="0"/>
    </xf>
    <xf numFmtId="9" fontId="2" fillId="9" borderId="3" xfId="2" applyFont="1" applyFill="1" applyBorder="1" applyAlignment="1" applyProtection="1">
      <alignment vertical="top" wrapText="1"/>
      <protection locked="0"/>
    </xf>
    <xf numFmtId="0" fontId="2" fillId="0" borderId="1" xfId="6" applyFont="1" applyBorder="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2" fillId="0" borderId="1" xfId="7" applyFont="1" applyBorder="1" applyAlignment="1" applyProtection="1">
      <alignment vertical="top" wrapText="1"/>
      <protection locked="0"/>
    </xf>
    <xf numFmtId="0" fontId="2" fillId="0" borderId="1" xfId="7" applyFont="1" applyBorder="1" applyAlignment="1" applyProtection="1">
      <alignment vertical="top"/>
      <protection locked="0"/>
    </xf>
    <xf numFmtId="0" fontId="2" fillId="0" borderId="1" xfId="6" applyFont="1" applyBorder="1" applyAlignment="1" applyProtection="1">
      <alignment vertical="top" wrapText="1"/>
      <protection locked="0"/>
    </xf>
    <xf numFmtId="0" fontId="2" fillId="19" borderId="1" xfId="6" applyFont="1" applyFill="1" applyBorder="1" applyAlignment="1" applyProtection="1">
      <alignment vertical="top" wrapText="1"/>
      <protection locked="0"/>
    </xf>
    <xf numFmtId="168" fontId="2" fillId="0" borderId="1" xfId="4" applyNumberFormat="1" applyFont="1" applyBorder="1" applyAlignment="1" applyProtection="1">
      <alignment vertical="top" wrapText="1"/>
    </xf>
    <xf numFmtId="168" fontId="2" fillId="0" borderId="1" xfId="6" applyNumberFormat="1" applyFont="1" applyBorder="1" applyAlignment="1" applyProtection="1">
      <alignment vertical="top" wrapText="1"/>
      <protection locked="0"/>
    </xf>
    <xf numFmtId="168" fontId="4" fillId="14" borderId="4" xfId="6" applyNumberFormat="1" applyFont="1" applyFill="1" applyBorder="1" applyAlignment="1" applyProtection="1">
      <alignment vertical="top"/>
      <protection locked="0"/>
    </xf>
    <xf numFmtId="0" fontId="3" fillId="0" borderId="1" xfId="7" applyFont="1" applyBorder="1" applyAlignment="1" applyProtection="1">
      <alignment vertical="top"/>
      <protection locked="0"/>
    </xf>
    <xf numFmtId="9" fontId="2" fillId="0" borderId="3" xfId="2" applyFont="1" applyBorder="1" applyAlignment="1" applyProtection="1">
      <alignment vertical="top" wrapText="1"/>
      <protection locked="0"/>
    </xf>
    <xf numFmtId="0" fontId="9" fillId="0" borderId="1" xfId="7" applyFont="1" applyBorder="1" applyAlignment="1" applyProtection="1">
      <alignment horizontal="right" vertical="top" wrapText="1"/>
      <protection locked="0"/>
    </xf>
    <xf numFmtId="0" fontId="4" fillId="0" borderId="1" xfId="0" applyFont="1" applyBorder="1" applyAlignment="1">
      <alignment vertical="top" wrapText="1"/>
    </xf>
    <xf numFmtId="0" fontId="14" fillId="0" borderId="1" xfId="7" applyFont="1" applyBorder="1" applyAlignment="1" applyProtection="1">
      <alignment vertical="top" wrapText="1"/>
      <protection locked="0"/>
    </xf>
    <xf numFmtId="168" fontId="2" fillId="0" borderId="1" xfId="7" applyNumberFormat="1" applyFont="1" applyBorder="1" applyAlignment="1" applyProtection="1">
      <alignment vertical="top"/>
      <protection locked="0"/>
    </xf>
    <xf numFmtId="168" fontId="2" fillId="20" borderId="1" xfId="7" applyNumberFormat="1" applyFont="1" applyFill="1" applyBorder="1" applyAlignment="1" applyProtection="1">
      <alignment vertical="top"/>
      <protection locked="0"/>
    </xf>
    <xf numFmtId="168" fontId="2" fillId="20" borderId="1" xfId="4" applyNumberFormat="1" applyFont="1" applyFill="1" applyBorder="1" applyAlignment="1" applyProtection="1">
      <alignment vertical="top" wrapText="1"/>
    </xf>
    <xf numFmtId="168" fontId="2" fillId="2" borderId="1" xfId="4" applyNumberFormat="1" applyFont="1" applyFill="1" applyBorder="1" applyAlignment="1" applyProtection="1">
      <alignment vertical="top" wrapText="1"/>
    </xf>
    <xf numFmtId="168" fontId="2" fillId="20" borderId="1" xfId="6" applyNumberFormat="1" applyFont="1" applyFill="1" applyBorder="1" applyAlignment="1" applyProtection="1">
      <alignment vertical="top" wrapText="1"/>
      <protection locked="0"/>
    </xf>
    <xf numFmtId="9" fontId="2" fillId="20" borderId="3" xfId="2" applyFont="1" applyFill="1" applyBorder="1" applyAlignment="1" applyProtection="1">
      <alignment vertical="top" wrapText="1"/>
      <protection locked="0"/>
    </xf>
    <xf numFmtId="0" fontId="2" fillId="0" borderId="1" xfId="7" applyFont="1" applyBorder="1" applyAlignment="1" applyProtection="1">
      <alignment horizontal="right" vertical="top" wrapText="1"/>
      <protection locked="0"/>
    </xf>
    <xf numFmtId="168" fontId="2" fillId="0" borderId="1" xfId="6" applyNumberFormat="1" applyFont="1" applyBorder="1" applyAlignment="1" applyProtection="1">
      <alignment vertical="top"/>
      <protection locked="0"/>
    </xf>
    <xf numFmtId="0" fontId="12" fillId="21" borderId="0" xfId="0" applyFont="1" applyFill="1" applyAlignment="1">
      <alignment vertical="top"/>
    </xf>
    <xf numFmtId="0" fontId="9" fillId="21" borderId="1" xfId="0" applyFont="1" applyFill="1" applyBorder="1" applyAlignment="1">
      <alignment vertical="top" wrapText="1"/>
    </xf>
    <xf numFmtId="0" fontId="14" fillId="21" borderId="1" xfId="7" applyFont="1" applyFill="1" applyBorder="1" applyAlignment="1" applyProtection="1">
      <alignment vertical="top" wrapText="1"/>
      <protection locked="0"/>
    </xf>
    <xf numFmtId="168" fontId="2" fillId="21" borderId="1" xfId="7" applyNumberFormat="1" applyFont="1" applyFill="1" applyBorder="1" applyAlignment="1" applyProtection="1">
      <alignment vertical="top"/>
      <protection locked="0"/>
    </xf>
    <xf numFmtId="168" fontId="2" fillId="19" borderId="1" xfId="7" applyNumberFormat="1" applyFont="1" applyFill="1" applyBorder="1" applyAlignment="1" applyProtection="1">
      <alignment vertical="top"/>
      <protection locked="0"/>
    </xf>
    <xf numFmtId="168" fontId="2" fillId="2" borderId="1" xfId="7" applyNumberFormat="1" applyFont="1" applyFill="1" applyBorder="1" applyAlignment="1" applyProtection="1">
      <alignment vertical="top"/>
      <protection locked="0"/>
    </xf>
    <xf numFmtId="168" fontId="2" fillId="12" borderId="1" xfId="7" applyNumberFormat="1" applyFont="1" applyFill="1" applyBorder="1" applyAlignment="1" applyProtection="1">
      <alignment vertical="top"/>
      <protection locked="0"/>
    </xf>
    <xf numFmtId="168" fontId="2" fillId="21" borderId="3" xfId="7" applyNumberFormat="1" applyFont="1" applyFill="1" applyBorder="1" applyAlignment="1" applyProtection="1">
      <alignment vertical="top"/>
      <protection locked="0"/>
    </xf>
    <xf numFmtId="0" fontId="9" fillId="20" borderId="1" xfId="7" applyFont="1" applyFill="1" applyBorder="1" applyAlignment="1" applyProtection="1">
      <alignment horizontal="right" vertical="top" wrapText="1"/>
      <protection locked="0"/>
    </xf>
    <xf numFmtId="0" fontId="15" fillId="20" borderId="1" xfId="0" applyFont="1" applyFill="1" applyBorder="1" applyAlignment="1">
      <alignment horizontal="left" vertical="top" wrapText="1"/>
    </xf>
    <xf numFmtId="0" fontId="14" fillId="20" borderId="1" xfId="7" applyFont="1" applyFill="1" applyBorder="1" applyAlignment="1" applyProtection="1">
      <alignment vertical="top" wrapText="1"/>
      <protection locked="0"/>
    </xf>
    <xf numFmtId="168" fontId="2" fillId="20" borderId="3" xfId="7" applyNumberFormat="1" applyFont="1" applyFill="1" applyBorder="1" applyAlignment="1" applyProtection="1">
      <alignment vertical="top"/>
      <protection locked="0"/>
    </xf>
    <xf numFmtId="0" fontId="2" fillId="0" borderId="1" xfId="0" applyFont="1" applyBorder="1" applyAlignment="1">
      <alignment vertical="top" wrapText="1"/>
    </xf>
    <xf numFmtId="0" fontId="12" fillId="21" borderId="1" xfId="0" applyFont="1" applyFill="1" applyBorder="1" applyAlignment="1">
      <alignment vertical="top"/>
    </xf>
    <xf numFmtId="0" fontId="3" fillId="21" borderId="1" xfId="7" applyFont="1" applyFill="1" applyBorder="1" applyAlignment="1" applyProtection="1">
      <alignment vertical="top" wrapText="1"/>
      <protection locked="0"/>
    </xf>
    <xf numFmtId="0" fontId="2" fillId="12" borderId="0" xfId="6" applyFont="1" applyFill="1" applyAlignment="1" applyProtection="1">
      <alignment vertical="top" wrapText="1"/>
      <protection locked="0"/>
    </xf>
    <xf numFmtId="0" fontId="2" fillId="0" borderId="1" xfId="6" applyFont="1" applyBorder="1" applyAlignment="1">
      <alignment vertical="top"/>
    </xf>
    <xf numFmtId="0" fontId="3" fillId="20" borderId="1" xfId="7" applyFont="1" applyFill="1" applyBorder="1" applyAlignment="1" applyProtection="1">
      <alignment vertical="top" wrapText="1"/>
      <protection locked="0"/>
    </xf>
    <xf numFmtId="0" fontId="2" fillId="2" borderId="1" xfId="7" applyFont="1" applyFill="1" applyBorder="1" applyAlignment="1" applyProtection="1">
      <alignment horizontal="right" vertical="top" wrapText="1"/>
      <protection locked="0"/>
    </xf>
    <xf numFmtId="0" fontId="16" fillId="0" borderId="1" xfId="6" applyFont="1" applyBorder="1" applyAlignment="1" applyProtection="1">
      <alignment vertical="top" wrapText="1"/>
      <protection locked="0"/>
    </xf>
    <xf numFmtId="168" fontId="2" fillId="2" borderId="1" xfId="6" applyNumberFormat="1" applyFont="1" applyFill="1" applyBorder="1" applyAlignment="1" applyProtection="1">
      <alignment vertical="top" wrapText="1"/>
      <protection locked="0"/>
    </xf>
    <xf numFmtId="9" fontId="2" fillId="2" borderId="3" xfId="2" applyFont="1" applyFill="1" applyBorder="1" applyAlignment="1" applyProtection="1">
      <alignment vertical="top" wrapText="1"/>
      <protection locked="0"/>
    </xf>
    <xf numFmtId="0" fontId="12" fillId="21" borderId="1" xfId="6" applyFont="1" applyFill="1" applyBorder="1" applyAlignment="1" applyProtection="1">
      <alignment horizontal="right" vertical="top"/>
      <protection locked="0"/>
    </xf>
    <xf numFmtId="0" fontId="17" fillId="21" borderId="1" xfId="0" applyFont="1" applyFill="1" applyBorder="1" applyAlignment="1" applyProtection="1">
      <alignment vertical="top" wrapText="1"/>
      <protection locked="0"/>
    </xf>
    <xf numFmtId="0" fontId="12" fillId="21" borderId="1" xfId="6" applyFont="1" applyFill="1" applyBorder="1" applyAlignment="1" applyProtection="1">
      <alignment vertical="top" wrapText="1"/>
      <protection locked="0"/>
    </xf>
    <xf numFmtId="168" fontId="12" fillId="21" borderId="1" xfId="6" applyNumberFormat="1" applyFont="1" applyFill="1" applyBorder="1" applyAlignment="1" applyProtection="1">
      <alignment vertical="top"/>
      <protection locked="0"/>
    </xf>
    <xf numFmtId="168" fontId="12" fillId="12" borderId="1" xfId="6" applyNumberFormat="1" applyFont="1" applyFill="1" applyBorder="1" applyAlignment="1" applyProtection="1">
      <alignment vertical="top"/>
      <protection locked="0"/>
    </xf>
    <xf numFmtId="168" fontId="12" fillId="19" borderId="1" xfId="6" applyNumberFormat="1" applyFont="1" applyFill="1" applyBorder="1" applyAlignment="1" applyProtection="1">
      <alignment vertical="top"/>
      <protection locked="0"/>
    </xf>
    <xf numFmtId="168" fontId="12" fillId="2" borderId="1" xfId="6" applyNumberFormat="1" applyFont="1" applyFill="1" applyBorder="1" applyAlignment="1" applyProtection="1">
      <alignment vertical="top"/>
      <protection locked="0"/>
    </xf>
    <xf numFmtId="168" fontId="12" fillId="21" borderId="3" xfId="6" applyNumberFormat="1" applyFont="1" applyFill="1" applyBorder="1" applyAlignment="1" applyProtection="1">
      <alignment vertical="top"/>
      <protection locked="0"/>
    </xf>
    <xf numFmtId="0" fontId="12" fillId="2" borderId="1" xfId="0" applyFont="1" applyFill="1" applyBorder="1" applyAlignment="1">
      <alignment vertical="top" wrapText="1"/>
    </xf>
    <xf numFmtId="168" fontId="2" fillId="22" borderId="1" xfId="4" applyNumberFormat="1" applyFont="1" applyFill="1" applyBorder="1" applyAlignment="1" applyProtection="1">
      <alignment vertical="top" wrapText="1"/>
    </xf>
    <xf numFmtId="0" fontId="2" fillId="2" borderId="1" xfId="6" applyFont="1" applyFill="1" applyBorder="1" applyAlignment="1" applyProtection="1">
      <alignment vertical="top"/>
      <protection locked="0"/>
    </xf>
    <xf numFmtId="0" fontId="2" fillId="2" borderId="0" xfId="6" applyFont="1" applyFill="1" applyAlignment="1" applyProtection="1">
      <alignment vertical="top"/>
      <protection locked="0"/>
    </xf>
    <xf numFmtId="168" fontId="2" fillId="23" borderId="1" xfId="7" applyNumberFormat="1" applyFont="1" applyFill="1" applyBorder="1" applyAlignment="1" applyProtection="1">
      <alignment vertical="top"/>
      <protection locked="0"/>
    </xf>
    <xf numFmtId="9" fontId="2" fillId="12" borderId="3" xfId="2" applyFont="1" applyFill="1" applyBorder="1" applyAlignment="1" applyProtection="1">
      <alignment vertical="top" wrapText="1"/>
      <protection locked="0"/>
    </xf>
    <xf numFmtId="168" fontId="19" fillId="2" borderId="1" xfId="7" applyNumberFormat="1" applyFont="1" applyFill="1" applyBorder="1" applyAlignment="1" applyProtection="1">
      <alignment vertical="top"/>
      <protection locked="0"/>
    </xf>
    <xf numFmtId="168" fontId="19" fillId="0" borderId="1" xfId="7" applyNumberFormat="1" applyFont="1" applyBorder="1" applyAlignment="1" applyProtection="1">
      <alignment vertical="top"/>
      <protection locked="0"/>
    </xf>
    <xf numFmtId="168" fontId="12" fillId="22" borderId="1" xfId="6" applyNumberFormat="1" applyFont="1" applyFill="1" applyBorder="1" applyAlignment="1" applyProtection="1">
      <alignment vertical="top"/>
      <protection locked="0"/>
    </xf>
    <xf numFmtId="0" fontId="12" fillId="24" borderId="1" xfId="6" applyFont="1" applyFill="1" applyBorder="1" applyAlignment="1" applyProtection="1">
      <alignment horizontal="right" vertical="top"/>
      <protection locked="0"/>
    </xf>
    <xf numFmtId="0" fontId="17" fillId="24" borderId="1" xfId="0" applyFont="1" applyFill="1" applyBorder="1" applyAlignment="1" applyProtection="1">
      <alignment vertical="top" wrapText="1"/>
      <protection locked="0"/>
    </xf>
    <xf numFmtId="0" fontId="12" fillId="24" borderId="1" xfId="6" applyFont="1" applyFill="1" applyBorder="1" applyAlignment="1" applyProtection="1">
      <alignment vertical="top" wrapText="1"/>
      <protection locked="0"/>
    </xf>
    <xf numFmtId="168" fontId="12" fillId="24" borderId="1" xfId="6" applyNumberFormat="1" applyFont="1" applyFill="1" applyBorder="1" applyAlignment="1" applyProtection="1">
      <alignment vertical="top"/>
      <protection locked="0"/>
    </xf>
    <xf numFmtId="168" fontId="12" fillId="24" borderId="3" xfId="6" applyNumberFormat="1" applyFont="1" applyFill="1" applyBorder="1" applyAlignment="1" applyProtection="1">
      <alignment vertical="top"/>
      <protection locked="0"/>
    </xf>
    <xf numFmtId="0" fontId="12" fillId="15" borderId="1" xfId="6" applyFont="1" applyFill="1" applyBorder="1" applyAlignment="1" applyProtection="1">
      <alignment horizontal="right" vertical="top"/>
      <protection locked="0"/>
    </xf>
    <xf numFmtId="0" fontId="17" fillId="15" borderId="1" xfId="0" applyFont="1" applyFill="1" applyBorder="1" applyAlignment="1" applyProtection="1">
      <alignment vertical="top" wrapText="1"/>
      <protection locked="0"/>
    </xf>
    <xf numFmtId="0" fontId="12" fillId="15" borderId="1" xfId="6" applyFont="1" applyFill="1" applyBorder="1" applyAlignment="1" applyProtection="1">
      <alignment vertical="top" wrapText="1"/>
      <protection locked="0"/>
    </xf>
    <xf numFmtId="168" fontId="12" fillId="15" borderId="1" xfId="6" applyNumberFormat="1" applyFont="1" applyFill="1" applyBorder="1" applyAlignment="1" applyProtection="1">
      <alignment vertical="top"/>
      <protection locked="0"/>
    </xf>
    <xf numFmtId="168" fontId="12" fillId="15" borderId="3" xfId="6" applyNumberFormat="1" applyFont="1" applyFill="1" applyBorder="1" applyAlignment="1" applyProtection="1">
      <alignment vertical="top"/>
      <protection locked="0"/>
    </xf>
    <xf numFmtId="0" fontId="12" fillId="20" borderId="1" xfId="6" applyFont="1" applyFill="1" applyBorder="1" applyAlignment="1" applyProtection="1">
      <alignment vertical="top" wrapText="1"/>
      <protection locked="0"/>
    </xf>
    <xf numFmtId="168" fontId="12" fillId="20" borderId="1" xfId="6" applyNumberFormat="1" applyFont="1" applyFill="1" applyBorder="1" applyAlignment="1" applyProtection="1">
      <alignment vertical="top"/>
      <protection locked="0"/>
    </xf>
    <xf numFmtId="168" fontId="12" fillId="20" borderId="3" xfId="6" applyNumberFormat="1" applyFont="1" applyFill="1" applyBorder="1" applyAlignment="1" applyProtection="1">
      <alignment vertical="top"/>
      <protection locked="0"/>
    </xf>
    <xf numFmtId="0" fontId="12" fillId="0" borderId="1" xfId="6" applyFont="1" applyBorder="1" applyAlignment="1" applyProtection="1">
      <alignment horizontal="right" vertical="top"/>
      <protection locked="0"/>
    </xf>
    <xf numFmtId="168" fontId="12" fillId="0" borderId="1" xfId="6" applyNumberFormat="1" applyFont="1" applyBorder="1" applyAlignment="1" applyProtection="1">
      <alignment vertical="top"/>
      <protection locked="0"/>
    </xf>
    <xf numFmtId="0" fontId="12" fillId="0" borderId="3" xfId="6" applyFont="1" applyBorder="1" applyAlignment="1" applyProtection="1">
      <alignment vertical="top"/>
      <protection locked="0"/>
    </xf>
    <xf numFmtId="168" fontId="19" fillId="0" borderId="1" xfId="6" applyNumberFormat="1" applyFont="1" applyBorder="1" applyAlignment="1" applyProtection="1">
      <alignment vertical="top"/>
      <protection locked="0"/>
    </xf>
    <xf numFmtId="0" fontId="20" fillId="12" borderId="0" xfId="0" applyFont="1" applyFill="1" applyAlignment="1">
      <alignment vertical="top" wrapText="1"/>
    </xf>
    <xf numFmtId="0" fontId="12" fillId="2" borderId="3" xfId="6" applyFont="1" applyFill="1" applyBorder="1" applyAlignment="1" applyProtection="1">
      <alignment vertical="top" wrapText="1"/>
      <protection locked="0"/>
    </xf>
    <xf numFmtId="0" fontId="21" fillId="0" borderId="1" xfId="0" applyFont="1" applyBorder="1" applyAlignment="1">
      <alignment horizontal="left" vertical="top" wrapText="1"/>
    </xf>
    <xf numFmtId="0" fontId="12" fillId="20" borderId="1" xfId="6" applyFont="1" applyFill="1" applyBorder="1" applyAlignment="1" applyProtection="1">
      <alignment vertical="top"/>
      <protection locked="0"/>
    </xf>
    <xf numFmtId="0" fontId="12" fillId="2" borderId="1" xfId="6" applyFont="1" applyFill="1" applyBorder="1" applyAlignment="1" applyProtection="1">
      <alignment vertical="top"/>
      <protection locked="0"/>
    </xf>
    <xf numFmtId="0" fontId="12" fillId="20" borderId="3" xfId="6" applyFont="1" applyFill="1" applyBorder="1" applyAlignment="1" applyProtection="1">
      <alignment vertical="top"/>
      <protection locked="0"/>
    </xf>
    <xf numFmtId="0" fontId="22" fillId="20" borderId="1" xfId="7" applyFont="1" applyFill="1" applyBorder="1" applyAlignment="1" applyProtection="1">
      <alignment horizontal="right" vertical="top" wrapText="1"/>
      <protection locked="0"/>
    </xf>
    <xf numFmtId="0" fontId="23" fillId="14" borderId="1" xfId="0" applyFont="1" applyFill="1" applyBorder="1" applyAlignment="1">
      <alignment horizontal="left" vertical="top" wrapText="1"/>
    </xf>
    <xf numFmtId="0" fontId="24" fillId="14" borderId="1" xfId="0" applyFont="1" applyFill="1" applyBorder="1" applyAlignment="1">
      <alignment vertical="top" wrapText="1"/>
    </xf>
    <xf numFmtId="168" fontId="19" fillId="0" borderId="1" xfId="4" applyNumberFormat="1" applyFont="1" applyBorder="1" applyAlignment="1" applyProtection="1">
      <alignment vertical="top" wrapText="1"/>
    </xf>
    <xf numFmtId="0" fontId="15" fillId="2" borderId="1" xfId="7" applyFont="1" applyFill="1" applyBorder="1" applyAlignment="1" applyProtection="1">
      <alignment horizontal="right" vertical="top" wrapText="1"/>
      <protection locked="0"/>
    </xf>
    <xf numFmtId="0" fontId="12" fillId="25" borderId="1" xfId="0" applyFont="1" applyFill="1" applyBorder="1" applyAlignment="1">
      <alignment vertical="top" wrapText="1"/>
    </xf>
    <xf numFmtId="0" fontId="12" fillId="2" borderId="1" xfId="6" applyFont="1" applyFill="1" applyBorder="1" applyAlignment="1" applyProtection="1">
      <alignment vertical="top" wrapText="1"/>
      <protection locked="0"/>
    </xf>
    <xf numFmtId="168" fontId="12" fillId="2" borderId="3" xfId="6" applyNumberFormat="1" applyFont="1" applyFill="1" applyBorder="1" applyAlignment="1" applyProtection="1">
      <alignment vertical="top"/>
      <protection locked="0"/>
    </xf>
    <xf numFmtId="168" fontId="4" fillId="2" borderId="4" xfId="6" applyNumberFormat="1" applyFont="1" applyFill="1" applyBorder="1" applyAlignment="1" applyProtection="1">
      <alignment vertical="top"/>
      <protection locked="0"/>
    </xf>
    <xf numFmtId="0" fontId="12" fillId="2" borderId="3" xfId="6" applyFont="1" applyFill="1" applyBorder="1" applyAlignment="1" applyProtection="1">
      <alignment vertical="top"/>
      <protection locked="0"/>
    </xf>
    <xf numFmtId="169" fontId="9" fillId="20" borderId="1" xfId="7" applyNumberFormat="1" applyFont="1" applyFill="1" applyBorder="1" applyAlignment="1" applyProtection="1">
      <alignment horizontal="right" vertical="top" wrapText="1"/>
      <protection locked="0"/>
    </xf>
    <xf numFmtId="0" fontId="24" fillId="0" borderId="1" xfId="6" applyFont="1" applyBorder="1" applyAlignment="1" applyProtection="1">
      <alignment horizontal="right" vertical="top"/>
      <protection locked="0"/>
    </xf>
    <xf numFmtId="0" fontId="24" fillId="0" borderId="1" xfId="0" applyFont="1" applyBorder="1" applyAlignment="1">
      <alignment vertical="top" wrapText="1"/>
    </xf>
    <xf numFmtId="0" fontId="26" fillId="0" borderId="1" xfId="6" applyFont="1" applyBorder="1" applyAlignment="1" applyProtection="1">
      <alignment vertical="top" wrapText="1"/>
      <protection locked="0"/>
    </xf>
    <xf numFmtId="168" fontId="24" fillId="0" borderId="1" xfId="6" applyNumberFormat="1" applyFont="1" applyBorder="1" applyAlignment="1" applyProtection="1">
      <alignment vertical="top"/>
      <protection locked="0"/>
    </xf>
    <xf numFmtId="168" fontId="27" fillId="0" borderId="1" xfId="4" applyNumberFormat="1" applyFont="1" applyBorder="1" applyAlignment="1" applyProtection="1">
      <alignment vertical="top" wrapText="1"/>
    </xf>
    <xf numFmtId="2" fontId="9" fillId="20" borderId="1" xfId="7" applyNumberFormat="1" applyFont="1" applyFill="1" applyBorder="1" applyAlignment="1" applyProtection="1">
      <alignment horizontal="right" vertical="top" wrapText="1"/>
      <protection locked="0"/>
    </xf>
    <xf numFmtId="0" fontId="17" fillId="20" borderId="1" xfId="0" applyFont="1" applyFill="1" applyBorder="1" applyAlignment="1" applyProtection="1">
      <alignment vertical="top" wrapText="1"/>
      <protection locked="0"/>
    </xf>
    <xf numFmtId="0" fontId="12" fillId="2" borderId="1" xfId="6" applyFont="1" applyFill="1" applyBorder="1" applyAlignment="1" applyProtection="1">
      <alignment horizontal="right" vertical="top"/>
      <protection locked="0"/>
    </xf>
    <xf numFmtId="0" fontId="3" fillId="20" borderId="1" xfId="7" applyFont="1" applyFill="1" applyBorder="1" applyAlignment="1" applyProtection="1">
      <alignment horizontal="left" vertical="top" wrapText="1"/>
      <protection locked="0"/>
    </xf>
    <xf numFmtId="168" fontId="2" fillId="20" borderId="1" xfId="7" applyNumberFormat="1" applyFont="1" applyFill="1" applyBorder="1" applyAlignment="1" applyProtection="1">
      <alignment horizontal="left" vertical="top"/>
      <protection locked="0"/>
    </xf>
    <xf numFmtId="168" fontId="2" fillId="2" borderId="1" xfId="7" applyNumberFormat="1" applyFont="1" applyFill="1" applyBorder="1" applyAlignment="1" applyProtection="1">
      <alignment horizontal="left" vertical="top"/>
      <protection locked="0"/>
    </xf>
    <xf numFmtId="168" fontId="2" fillId="20" borderId="3" xfId="7" applyNumberFormat="1" applyFont="1" applyFill="1" applyBorder="1" applyAlignment="1" applyProtection="1">
      <alignment horizontal="left" vertical="top"/>
      <protection locked="0"/>
    </xf>
    <xf numFmtId="0" fontId="2" fillId="0" borderId="1" xfId="6" applyFont="1" applyBorder="1" applyAlignment="1" applyProtection="1">
      <alignment horizontal="right" vertical="top"/>
      <protection locked="0"/>
    </xf>
    <xf numFmtId="168" fontId="2" fillId="0" borderId="3" xfId="6" applyNumberFormat="1" applyFont="1" applyBorder="1" applyAlignment="1" applyProtection="1">
      <alignment vertical="top"/>
      <protection locked="0"/>
    </xf>
    <xf numFmtId="9" fontId="2" fillId="0" borderId="1" xfId="2" applyFont="1" applyBorder="1" applyAlignment="1" applyProtection="1">
      <alignment vertical="top" wrapText="1"/>
      <protection locked="0"/>
    </xf>
    <xf numFmtId="168" fontId="2" fillId="0" borderId="1" xfId="4" applyNumberFormat="1" applyFont="1" applyBorder="1" applyAlignment="1" applyProtection="1">
      <alignment vertical="top" wrapText="1"/>
      <protection locked="0"/>
    </xf>
    <xf numFmtId="0" fontId="2" fillId="21" borderId="1" xfId="7" applyFont="1" applyFill="1" applyBorder="1" applyAlignment="1" applyProtection="1">
      <alignment horizontal="center" vertical="top" wrapText="1"/>
      <protection locked="0"/>
    </xf>
    <xf numFmtId="0" fontId="9" fillId="20" borderId="1" xfId="0" applyFont="1" applyFill="1" applyBorder="1" applyAlignment="1">
      <alignment horizontal="left" vertical="top" wrapText="1"/>
    </xf>
    <xf numFmtId="0" fontId="16" fillId="20" borderId="1" xfId="6" applyFont="1" applyFill="1" applyBorder="1" applyAlignment="1" applyProtection="1">
      <alignment vertical="top" wrapText="1"/>
      <protection locked="0"/>
    </xf>
    <xf numFmtId="0" fontId="2" fillId="21" borderId="1" xfId="7" applyFont="1" applyFill="1" applyBorder="1" applyAlignment="1" applyProtection="1">
      <alignment horizontal="right" vertical="top" wrapText="1"/>
      <protection locked="0"/>
    </xf>
    <xf numFmtId="168" fontId="2" fillId="21" borderId="1" xfId="2" applyNumberFormat="1" applyFont="1" applyFill="1" applyBorder="1" applyAlignment="1" applyProtection="1">
      <alignment vertical="top" wrapText="1"/>
      <protection locked="0"/>
    </xf>
    <xf numFmtId="168" fontId="2" fillId="12" borderId="1" xfId="2" applyNumberFormat="1" applyFont="1" applyFill="1" applyBorder="1" applyAlignment="1" applyProtection="1">
      <alignment vertical="top" wrapText="1"/>
      <protection locked="0"/>
    </xf>
    <xf numFmtId="168" fontId="2" fillId="19" borderId="1" xfId="2" applyNumberFormat="1" applyFont="1" applyFill="1" applyBorder="1" applyAlignment="1" applyProtection="1">
      <alignment vertical="top" wrapText="1"/>
      <protection locked="0"/>
    </xf>
    <xf numFmtId="168" fontId="2" fillId="2" borderId="1" xfId="2" applyNumberFormat="1" applyFont="1" applyFill="1" applyBorder="1" applyAlignment="1" applyProtection="1">
      <alignment vertical="top" wrapText="1"/>
      <protection locked="0"/>
    </xf>
    <xf numFmtId="168" fontId="2" fillId="21" borderId="3" xfId="2" applyNumberFormat="1" applyFont="1" applyFill="1" applyBorder="1" applyAlignment="1" applyProtection="1">
      <alignment vertical="top" wrapText="1"/>
      <protection locked="0"/>
    </xf>
    <xf numFmtId="0" fontId="2" fillId="0" borderId="1" xfId="7" applyFont="1" applyBorder="1" applyAlignment="1" applyProtection="1">
      <alignment horizontal="center" vertical="top" wrapText="1"/>
      <protection locked="0"/>
    </xf>
    <xf numFmtId="0" fontId="2" fillId="26" borderId="1" xfId="7" applyFont="1" applyFill="1" applyBorder="1" applyAlignment="1" applyProtection="1">
      <alignment horizontal="center" vertical="top" wrapText="1"/>
      <protection locked="0"/>
    </xf>
    <xf numFmtId="0" fontId="28" fillId="26" borderId="1" xfId="0" applyFont="1" applyFill="1" applyBorder="1" applyAlignment="1">
      <alignment vertical="top" wrapText="1"/>
    </xf>
    <xf numFmtId="0" fontId="16" fillId="26" borderId="1" xfId="6" applyFont="1" applyFill="1" applyBorder="1" applyAlignment="1" applyProtection="1">
      <alignment vertical="top" wrapText="1"/>
      <protection locked="0"/>
    </xf>
    <xf numFmtId="168" fontId="12" fillId="26" borderId="1" xfId="6" applyNumberFormat="1" applyFont="1" applyFill="1" applyBorder="1" applyAlignment="1" applyProtection="1">
      <alignment vertical="top"/>
      <protection locked="0"/>
    </xf>
    <xf numFmtId="168" fontId="2" fillId="26" borderId="1" xfId="4" applyNumberFormat="1" applyFont="1" applyFill="1" applyBorder="1" applyAlignment="1" applyProtection="1">
      <alignment vertical="top" wrapText="1"/>
    </xf>
    <xf numFmtId="168" fontId="2" fillId="26" borderId="1" xfId="7" applyNumberFormat="1" applyFont="1" applyFill="1" applyBorder="1" applyAlignment="1" applyProtection="1">
      <alignment vertical="top"/>
      <protection locked="0"/>
    </xf>
    <xf numFmtId="168" fontId="2" fillId="26" borderId="1" xfId="6" applyNumberFormat="1" applyFont="1" applyFill="1" applyBorder="1" applyAlignment="1" applyProtection="1">
      <alignment vertical="top" wrapText="1"/>
      <protection locked="0"/>
    </xf>
    <xf numFmtId="0" fontId="12" fillId="27" borderId="1" xfId="6" applyFont="1" applyFill="1" applyBorder="1" applyAlignment="1" applyProtection="1">
      <alignment horizontal="right" vertical="top"/>
      <protection locked="0"/>
    </xf>
    <xf numFmtId="0" fontId="17" fillId="27" borderId="1" xfId="0" applyFont="1" applyFill="1" applyBorder="1" applyAlignment="1" applyProtection="1">
      <alignment vertical="top" wrapText="1"/>
      <protection locked="0"/>
    </xf>
    <xf numFmtId="0" fontId="12" fillId="27" borderId="1" xfId="6" applyFont="1" applyFill="1" applyBorder="1" applyAlignment="1" applyProtection="1">
      <alignment vertical="top" wrapText="1"/>
      <protection locked="0"/>
    </xf>
    <xf numFmtId="168" fontId="12" fillId="27" borderId="1" xfId="6" applyNumberFormat="1" applyFont="1" applyFill="1" applyBorder="1" applyAlignment="1" applyProtection="1">
      <alignment vertical="top"/>
      <protection locked="0"/>
    </xf>
    <xf numFmtId="168" fontId="12" fillId="27" borderId="3" xfId="6" applyNumberFormat="1" applyFont="1" applyFill="1" applyBorder="1" applyAlignment="1" applyProtection="1">
      <alignment vertical="top"/>
      <protection locked="0"/>
    </xf>
    <xf numFmtId="0" fontId="12" fillId="4" borderId="1" xfId="6" applyFont="1" applyFill="1" applyBorder="1" applyAlignment="1" applyProtection="1">
      <alignment horizontal="right" vertical="top"/>
      <protection locked="0"/>
    </xf>
    <xf numFmtId="0" fontId="17" fillId="4" borderId="1" xfId="0" applyFont="1" applyFill="1" applyBorder="1" applyAlignment="1" applyProtection="1">
      <alignment vertical="top" wrapText="1"/>
      <protection locked="0"/>
    </xf>
    <xf numFmtId="168" fontId="12" fillId="4" borderId="1" xfId="6" applyNumberFormat="1" applyFont="1" applyFill="1" applyBorder="1" applyAlignment="1" applyProtection="1">
      <alignment vertical="top"/>
      <protection locked="0"/>
    </xf>
    <xf numFmtId="0" fontId="2" fillId="4" borderId="1" xfId="6" applyFont="1" applyFill="1" applyBorder="1" applyAlignment="1" applyProtection="1">
      <alignment vertical="top" wrapText="1"/>
      <protection locked="0"/>
    </xf>
    <xf numFmtId="0" fontId="29" fillId="15" borderId="1" xfId="0" applyFont="1" applyFill="1" applyBorder="1" applyAlignment="1" applyProtection="1">
      <alignment vertical="top" wrapText="1"/>
      <protection locked="0"/>
    </xf>
    <xf numFmtId="0" fontId="12" fillId="14" borderId="1" xfId="6" applyFont="1" applyFill="1" applyBorder="1" applyAlignment="1" applyProtection="1">
      <alignment horizontal="right" vertical="top"/>
      <protection locked="0"/>
    </xf>
    <xf numFmtId="0" fontId="13" fillId="14" borderId="1" xfId="6" applyFont="1" applyFill="1" applyBorder="1" applyAlignment="1" applyProtection="1">
      <alignment vertical="top" wrapText="1"/>
      <protection locked="0"/>
    </xf>
    <xf numFmtId="0" fontId="4" fillId="14" borderId="1" xfId="6" applyFont="1" applyFill="1" applyBorder="1" applyAlignment="1" applyProtection="1">
      <alignment vertical="top" wrapText="1"/>
      <protection locked="0"/>
    </xf>
    <xf numFmtId="168" fontId="30" fillId="14" borderId="1" xfId="6" applyNumberFormat="1" applyFont="1" applyFill="1" applyBorder="1" applyAlignment="1" applyProtection="1">
      <alignment vertical="center"/>
      <protection locked="0"/>
    </xf>
    <xf numFmtId="168" fontId="12" fillId="14" borderId="1" xfId="6" applyNumberFormat="1" applyFont="1" applyFill="1" applyBorder="1" applyAlignment="1" applyProtection="1">
      <alignment vertical="top"/>
      <protection locked="0"/>
    </xf>
    <xf numFmtId="168" fontId="12" fillId="14" borderId="3" xfId="6" applyNumberFormat="1" applyFont="1" applyFill="1" applyBorder="1" applyAlignment="1" applyProtection="1">
      <alignment vertical="top"/>
      <protection locked="0"/>
    </xf>
    <xf numFmtId="0" fontId="31" fillId="28" borderId="1" xfId="6" applyFont="1" applyFill="1" applyBorder="1" applyAlignment="1" applyProtection="1">
      <alignment horizontal="right" vertical="top"/>
      <protection locked="0"/>
    </xf>
    <xf numFmtId="0" fontId="13" fillId="28" borderId="1" xfId="6" applyFont="1" applyFill="1" applyBorder="1" applyAlignment="1" applyProtection="1">
      <alignment vertical="top" wrapText="1"/>
      <protection locked="0"/>
    </xf>
    <xf numFmtId="0" fontId="4" fillId="28" borderId="1" xfId="6" applyFont="1" applyFill="1" applyBorder="1" applyAlignment="1" applyProtection="1">
      <alignment vertical="top" wrapText="1"/>
      <protection locked="0"/>
    </xf>
    <xf numFmtId="168" fontId="12" fillId="28" borderId="1" xfId="6" applyNumberFormat="1" applyFont="1" applyFill="1" applyBorder="1" applyAlignment="1" applyProtection="1">
      <alignment vertical="top"/>
      <protection locked="0"/>
    </xf>
    <xf numFmtId="168" fontId="12" fillId="28" borderId="3" xfId="6" applyNumberFormat="1" applyFont="1" applyFill="1" applyBorder="1" applyAlignment="1" applyProtection="1">
      <alignment vertical="top"/>
      <protection locked="0"/>
    </xf>
    <xf numFmtId="0" fontId="12" fillId="0" borderId="1" xfId="6" applyFont="1" applyBorder="1" applyAlignment="1" applyProtection="1">
      <alignment vertical="top" wrapText="1"/>
      <protection locked="0"/>
    </xf>
    <xf numFmtId="0" fontId="12" fillId="29" borderId="1" xfId="6" applyFont="1" applyFill="1" applyBorder="1" applyAlignment="1" applyProtection="1">
      <alignment horizontal="right" vertical="top"/>
      <protection locked="0"/>
    </xf>
    <xf numFmtId="0" fontId="4" fillId="29" borderId="1" xfId="6" applyFont="1" applyFill="1" applyBorder="1" applyAlignment="1" applyProtection="1">
      <alignment vertical="top" wrapText="1"/>
      <protection locked="0"/>
    </xf>
    <xf numFmtId="168" fontId="12" fillId="29" borderId="1" xfId="6" applyNumberFormat="1" applyFont="1" applyFill="1" applyBorder="1" applyAlignment="1" applyProtection="1">
      <alignment vertical="top"/>
      <protection locked="0"/>
    </xf>
    <xf numFmtId="168" fontId="12" fillId="29" borderId="3" xfId="6" applyNumberFormat="1" applyFont="1" applyFill="1" applyBorder="1" applyAlignment="1" applyProtection="1">
      <alignment vertical="top"/>
      <protection locked="0"/>
    </xf>
    <xf numFmtId="0" fontId="2" fillId="16" borderId="1" xfId="6" applyFont="1" applyFill="1" applyBorder="1" applyAlignment="1" applyProtection="1">
      <alignment vertical="top"/>
      <protection locked="0"/>
    </xf>
    <xf numFmtId="0" fontId="3" fillId="16" borderId="1" xfId="6" applyFont="1" applyFill="1" applyBorder="1" applyAlignment="1" applyProtection="1">
      <alignment vertical="top" wrapText="1"/>
      <protection locked="0"/>
    </xf>
    <xf numFmtId="168" fontId="2" fillId="16" borderId="1" xfId="6" applyNumberFormat="1" applyFont="1" applyFill="1" applyBorder="1" applyAlignment="1" applyProtection="1">
      <alignment vertical="top"/>
      <protection locked="0"/>
    </xf>
    <xf numFmtId="168" fontId="2" fillId="2" borderId="1" xfId="6" applyNumberFormat="1" applyFont="1" applyFill="1" applyBorder="1" applyAlignment="1" applyProtection="1">
      <alignment vertical="top"/>
      <protection locked="0"/>
    </xf>
    <xf numFmtId="168" fontId="2" fillId="16" borderId="3" xfId="6" applyNumberFormat="1" applyFont="1" applyFill="1" applyBorder="1" applyAlignment="1" applyProtection="1">
      <alignment vertical="top"/>
      <protection locked="0"/>
    </xf>
    <xf numFmtId="0" fontId="12" fillId="0" borderId="1" xfId="6" applyFont="1" applyBorder="1" applyAlignment="1" applyProtection="1">
      <alignment vertical="top"/>
      <protection locked="0"/>
    </xf>
    <xf numFmtId="0" fontId="12" fillId="0" borderId="1" xfId="0" applyFont="1" applyBorder="1" applyAlignment="1">
      <alignment horizontal="left" vertical="top" wrapText="1"/>
    </xf>
    <xf numFmtId="0" fontId="16" fillId="0" borderId="1" xfId="6" applyFont="1" applyBorder="1" applyAlignment="1">
      <alignment vertical="top" wrapText="1"/>
    </xf>
    <xf numFmtId="168" fontId="12" fillId="0" borderId="1" xfId="6" applyNumberFormat="1" applyFont="1" applyBorder="1" applyAlignment="1">
      <alignment vertical="top"/>
    </xf>
    <xf numFmtId="165" fontId="21" fillId="0" borderId="3" xfId="4" applyFont="1" applyBorder="1" applyAlignment="1" applyProtection="1">
      <alignment vertical="top"/>
      <protection locked="0"/>
    </xf>
    <xf numFmtId="0" fontId="2" fillId="0" borderId="1" xfId="6" applyFont="1" applyBorder="1" applyAlignment="1" applyProtection="1">
      <alignment horizontal="center" vertical="top" wrapText="1"/>
      <protection locked="0"/>
    </xf>
    <xf numFmtId="0" fontId="12" fillId="4" borderId="1" xfId="0" applyFont="1" applyFill="1" applyBorder="1" applyAlignment="1">
      <alignment horizontal="left" vertical="top" wrapText="1"/>
    </xf>
    <xf numFmtId="168" fontId="2" fillId="4" borderId="1" xfId="4" applyNumberFormat="1" applyFont="1" applyFill="1" applyBorder="1" applyAlignment="1" applyProtection="1">
      <alignment vertical="top" wrapText="1"/>
    </xf>
    <xf numFmtId="168" fontId="12" fillId="4" borderId="1" xfId="6" applyNumberFormat="1" applyFont="1" applyFill="1" applyBorder="1" applyAlignment="1">
      <alignment vertical="top"/>
    </xf>
    <xf numFmtId="168" fontId="2" fillId="4" borderId="1" xfId="7" applyNumberFormat="1" applyFont="1" applyFill="1" applyBorder="1" applyAlignment="1" applyProtection="1">
      <alignment vertical="top"/>
      <protection locked="0"/>
    </xf>
    <xf numFmtId="168" fontId="2" fillId="4" borderId="1" xfId="6" applyNumberFormat="1" applyFont="1" applyFill="1" applyBorder="1" applyAlignment="1" applyProtection="1">
      <alignment vertical="top" wrapText="1"/>
      <protection locked="0"/>
    </xf>
    <xf numFmtId="165" fontId="21" fillId="4" borderId="3" xfId="4" applyFont="1" applyFill="1" applyBorder="1" applyAlignment="1" applyProtection="1">
      <alignment vertical="top"/>
      <protection locked="0"/>
    </xf>
    <xf numFmtId="0" fontId="2" fillId="4" borderId="1" xfId="6" applyFont="1" applyFill="1" applyBorder="1" applyAlignment="1" applyProtection="1">
      <alignment horizontal="center" vertical="top" wrapText="1"/>
      <protection locked="0"/>
    </xf>
    <xf numFmtId="0" fontId="12" fillId="29" borderId="1" xfId="6" applyFont="1" applyFill="1" applyBorder="1" applyAlignment="1" applyProtection="1">
      <alignment vertical="top"/>
      <protection locked="0"/>
    </xf>
    <xf numFmtId="0" fontId="12" fillId="13" borderId="1" xfId="6" applyFont="1" applyFill="1" applyBorder="1" applyAlignment="1" applyProtection="1">
      <alignment vertical="top"/>
      <protection locked="0"/>
    </xf>
    <xf numFmtId="0" fontId="4" fillId="13" borderId="1" xfId="0" applyFont="1" applyFill="1" applyBorder="1" applyAlignment="1">
      <alignment horizontal="left" vertical="top" wrapText="1"/>
    </xf>
    <xf numFmtId="0" fontId="4" fillId="13" borderId="1" xfId="6" applyFont="1" applyFill="1" applyBorder="1" applyAlignment="1" applyProtection="1">
      <alignment vertical="top" wrapText="1"/>
      <protection locked="0"/>
    </xf>
    <xf numFmtId="168" fontId="12" fillId="13" borderId="1" xfId="6" applyNumberFormat="1" applyFont="1" applyFill="1" applyBorder="1" applyAlignment="1" applyProtection="1">
      <alignment vertical="top"/>
      <protection locked="0"/>
    </xf>
    <xf numFmtId="168" fontId="12" fillId="13" borderId="3" xfId="6" applyNumberFormat="1" applyFont="1" applyFill="1" applyBorder="1" applyAlignment="1" applyProtection="1">
      <alignment vertical="top"/>
      <protection locked="0"/>
    </xf>
    <xf numFmtId="0" fontId="4" fillId="13" borderId="1" xfId="0" applyFont="1" applyFill="1" applyBorder="1" applyAlignment="1">
      <alignment vertical="top" wrapText="1"/>
    </xf>
    <xf numFmtId="0" fontId="4" fillId="30" borderId="1" xfId="6" applyFont="1" applyFill="1" applyBorder="1" applyAlignment="1" applyProtection="1">
      <alignment vertical="top"/>
      <protection locked="0"/>
    </xf>
    <xf numFmtId="0" fontId="4" fillId="30" borderId="1" xfId="6" applyFont="1" applyFill="1" applyBorder="1" applyAlignment="1" applyProtection="1">
      <alignment vertical="top" wrapText="1"/>
      <protection locked="0"/>
    </xf>
    <xf numFmtId="168" fontId="12" fillId="30" borderId="1" xfId="6" applyNumberFormat="1" applyFont="1" applyFill="1" applyBorder="1" applyAlignment="1" applyProtection="1">
      <alignment vertical="top"/>
      <protection locked="0"/>
    </xf>
    <xf numFmtId="168" fontId="4" fillId="30" borderId="4" xfId="6" applyNumberFormat="1" applyFont="1" applyFill="1" applyBorder="1" applyAlignment="1" applyProtection="1">
      <alignment vertical="top"/>
      <protection locked="0"/>
    </xf>
    <xf numFmtId="168" fontId="12" fillId="30" borderId="3" xfId="6" applyNumberFormat="1" applyFont="1" applyFill="1" applyBorder="1" applyAlignment="1" applyProtection="1">
      <alignment vertical="top"/>
      <protection locked="0"/>
    </xf>
    <xf numFmtId="0" fontId="2" fillId="30" borderId="1" xfId="6" applyFont="1" applyFill="1" applyBorder="1" applyAlignment="1" applyProtection="1">
      <alignment vertical="top"/>
      <protection locked="0"/>
    </xf>
    <xf numFmtId="168" fontId="12" fillId="8" borderId="3" xfId="6" applyNumberFormat="1" applyFont="1" applyFill="1" applyBorder="1" applyAlignment="1" applyProtection="1">
      <alignment vertical="top"/>
      <protection locked="0"/>
    </xf>
    <xf numFmtId="0" fontId="12" fillId="0" borderId="3" xfId="6" applyFont="1" applyBorder="1" applyAlignment="1" applyProtection="1">
      <alignment horizontal="center" vertical="top"/>
      <protection locked="0"/>
    </xf>
    <xf numFmtId="0" fontId="12" fillId="0" borderId="5" xfId="6" applyFont="1" applyBorder="1" applyAlignment="1" applyProtection="1">
      <alignment horizontal="center" vertical="top" wrapText="1"/>
      <protection locked="0"/>
    </xf>
    <xf numFmtId="0" fontId="12" fillId="0" borderId="5" xfId="6" applyFont="1" applyBorder="1" applyAlignment="1" applyProtection="1">
      <alignment horizontal="center" vertical="top"/>
      <protection locked="0"/>
    </xf>
    <xf numFmtId="168" fontId="2" fillId="0" borderId="5" xfId="4" applyNumberFormat="1" applyFont="1" applyBorder="1" applyAlignment="1" applyProtection="1">
      <alignment vertical="top" wrapText="1"/>
    </xf>
    <xf numFmtId="168" fontId="2" fillId="2" borderId="5" xfId="4" applyNumberFormat="1" applyFont="1" applyFill="1" applyBorder="1" applyAlignment="1" applyProtection="1">
      <alignment vertical="top" wrapText="1"/>
    </xf>
    <xf numFmtId="0" fontId="32" fillId="14" borderId="4" xfId="6" applyFont="1" applyFill="1" applyBorder="1" applyAlignment="1" applyProtection="1">
      <alignment vertical="top"/>
      <protection locked="0"/>
    </xf>
    <xf numFmtId="0" fontId="4" fillId="14" borderId="4" xfId="6" applyFont="1" applyFill="1" applyBorder="1" applyAlignment="1">
      <alignment vertical="top" wrapText="1"/>
    </xf>
    <xf numFmtId="0" fontId="4" fillId="14" borderId="4" xfId="6" applyFont="1" applyFill="1" applyBorder="1" applyAlignment="1" applyProtection="1">
      <alignment vertical="top" wrapText="1"/>
      <protection locked="0"/>
    </xf>
    <xf numFmtId="168" fontId="4" fillId="14" borderId="6" xfId="6" applyNumberFormat="1" applyFont="1" applyFill="1" applyBorder="1" applyAlignment="1" applyProtection="1">
      <alignment vertical="top"/>
      <protection locked="0"/>
    </xf>
    <xf numFmtId="168" fontId="4" fillId="14" borderId="1" xfId="6" applyNumberFormat="1" applyFont="1" applyFill="1" applyBorder="1" applyAlignment="1" applyProtection="1">
      <alignment vertical="top"/>
      <protection locked="0"/>
    </xf>
    <xf numFmtId="168" fontId="2" fillId="11" borderId="1" xfId="6" applyNumberFormat="1" applyFont="1" applyFill="1" applyBorder="1" applyAlignment="1" applyProtection="1">
      <alignment vertical="top"/>
      <protection locked="0"/>
    </xf>
    <xf numFmtId="0" fontId="12" fillId="0" borderId="7" xfId="7" applyFont="1" applyBorder="1" applyAlignment="1" applyProtection="1">
      <alignment horizontal="center" vertical="top" wrapText="1"/>
      <protection locked="0"/>
    </xf>
    <xf numFmtId="0" fontId="12" fillId="0" borderId="7" xfId="7" applyFont="1" applyBorder="1" applyAlignment="1" applyProtection="1">
      <alignment vertical="top" wrapText="1"/>
      <protection locked="0"/>
    </xf>
    <xf numFmtId="0" fontId="12" fillId="0" borderId="7" xfId="7" applyFont="1" applyBorder="1" applyAlignment="1" applyProtection="1">
      <alignment vertical="top"/>
      <protection locked="0"/>
    </xf>
    <xf numFmtId="165" fontId="2" fillId="0" borderId="7" xfId="4" applyFont="1" applyBorder="1" applyAlignment="1" applyProtection="1">
      <alignment vertical="top" wrapText="1"/>
      <protection locked="0"/>
    </xf>
    <xf numFmtId="165" fontId="2" fillId="2" borderId="7" xfId="4" applyFont="1" applyFill="1" applyBorder="1" applyAlignment="1" applyProtection="1">
      <alignment vertical="top" wrapText="1"/>
      <protection locked="0"/>
    </xf>
    <xf numFmtId="165" fontId="21" fillId="0" borderId="7" xfId="4" applyFont="1" applyBorder="1" applyAlignment="1" applyProtection="1">
      <alignment vertical="top"/>
      <protection locked="0"/>
    </xf>
    <xf numFmtId="0" fontId="12" fillId="0" borderId="0" xfId="7" applyFont="1" applyAlignment="1" applyProtection="1">
      <alignment horizontal="center" vertical="top" wrapText="1"/>
      <protection locked="0"/>
    </xf>
    <xf numFmtId="0" fontId="12" fillId="0" borderId="0" xfId="7" applyFont="1" applyAlignment="1" applyProtection="1">
      <alignment vertical="top" wrapText="1"/>
      <protection locked="0"/>
    </xf>
    <xf numFmtId="165" fontId="2" fillId="0" borderId="0" xfId="4" applyFont="1" applyBorder="1" applyAlignment="1" applyProtection="1">
      <alignment vertical="top" wrapText="1"/>
      <protection locked="0"/>
    </xf>
    <xf numFmtId="165" fontId="2" fillId="2" borderId="0" xfId="4" applyFont="1" applyFill="1" applyBorder="1" applyAlignment="1" applyProtection="1">
      <alignment vertical="top" wrapText="1"/>
      <protection locked="0"/>
    </xf>
    <xf numFmtId="165" fontId="21" fillId="0" borderId="0" xfId="4" applyFont="1" applyBorder="1" applyAlignment="1" applyProtection="1">
      <alignment vertical="top"/>
      <protection locked="0"/>
    </xf>
    <xf numFmtId="0" fontId="4" fillId="0" borderId="0" xfId="7" applyFont="1" applyAlignment="1" applyProtection="1">
      <alignment horizontal="center" vertical="top" wrapText="1"/>
      <protection locked="0"/>
    </xf>
    <xf numFmtId="0" fontId="4" fillId="0" borderId="0" xfId="7" applyFont="1" applyAlignment="1" applyProtection="1">
      <alignment vertical="top" wrapText="1"/>
      <protection locked="0"/>
    </xf>
    <xf numFmtId="0" fontId="33" fillId="0" borderId="0" xfId="7" applyFont="1" applyAlignment="1" applyProtection="1">
      <alignment horizontal="center" vertical="top" wrapText="1"/>
      <protection locked="0"/>
    </xf>
    <xf numFmtId="0" fontId="33" fillId="0" borderId="0" xfId="7" applyFont="1" applyAlignment="1" applyProtection="1">
      <alignment vertical="top" wrapText="1"/>
      <protection locked="0"/>
    </xf>
    <xf numFmtId="0" fontId="33" fillId="0" borderId="0" xfId="7" applyFont="1" applyAlignment="1" applyProtection="1">
      <alignment vertical="top"/>
      <protection locked="0"/>
    </xf>
    <xf numFmtId="0" fontId="2" fillId="0" borderId="0" xfId="7" applyFont="1" applyAlignment="1" applyProtection="1">
      <alignment horizontal="center" vertical="top" wrapText="1"/>
      <protection locked="0"/>
    </xf>
    <xf numFmtId="0" fontId="12" fillId="0" borderId="0" xfId="7" applyFont="1" applyAlignment="1" applyProtection="1">
      <alignment vertical="top"/>
      <protection locked="0"/>
    </xf>
    <xf numFmtId="165" fontId="3" fillId="0" borderId="0" xfId="4" applyFont="1" applyBorder="1" applyAlignment="1" applyProtection="1">
      <alignment vertical="top" wrapText="1"/>
      <protection locked="0"/>
    </xf>
    <xf numFmtId="165" fontId="3" fillId="2" borderId="0" xfId="4" applyFont="1" applyFill="1" applyBorder="1" applyAlignment="1" applyProtection="1">
      <alignment vertical="top" wrapText="1"/>
      <protection locked="0"/>
    </xf>
    <xf numFmtId="165" fontId="2" fillId="0" borderId="0" xfId="4" applyFont="1" applyBorder="1" applyAlignment="1" applyProtection="1">
      <alignment vertical="top"/>
      <protection locked="0"/>
    </xf>
    <xf numFmtId="0" fontId="2" fillId="14" borderId="0" xfId="6" applyFont="1" applyFill="1" applyAlignment="1">
      <alignment vertical="top"/>
    </xf>
    <xf numFmtId="0" fontId="4" fillId="0" borderId="0" xfId="7" applyFont="1" applyAlignment="1" applyProtection="1">
      <alignment vertical="top"/>
      <protection locked="0"/>
    </xf>
    <xf numFmtId="0" fontId="2" fillId="0" borderId="0" xfId="7" applyFont="1" applyAlignment="1" applyProtection="1">
      <alignment vertical="top" wrapText="1"/>
      <protection locked="0"/>
    </xf>
    <xf numFmtId="0" fontId="2" fillId="0" borderId="0" xfId="7" applyFont="1" applyAlignment="1" applyProtection="1">
      <alignment vertical="top"/>
      <protection locked="0"/>
    </xf>
    <xf numFmtId="0" fontId="2" fillId="0" borderId="0" xfId="6" applyFont="1" applyAlignment="1" applyProtection="1">
      <alignment vertical="top" wrapText="1"/>
      <protection locked="0"/>
    </xf>
    <xf numFmtId="0" fontId="2" fillId="2" borderId="0" xfId="6" applyFont="1" applyFill="1" applyAlignment="1" applyProtection="1">
      <alignment vertical="top" wrapText="1"/>
      <protection locked="0"/>
    </xf>
    <xf numFmtId="0" fontId="3" fillId="0" borderId="0" xfId="6" applyFont="1" applyAlignment="1" applyProtection="1">
      <alignment vertical="top" wrapText="1"/>
      <protection locked="0"/>
    </xf>
    <xf numFmtId="0" fontId="3" fillId="2" borderId="0" xfId="6" applyFont="1" applyFill="1" applyAlignment="1" applyProtection="1">
      <alignment vertical="top" wrapText="1"/>
      <protection locked="0"/>
    </xf>
    <xf numFmtId="0" fontId="12" fillId="0" borderId="0" xfId="6" applyFont="1" applyAlignment="1" applyProtection="1">
      <alignment vertical="top" wrapText="1"/>
      <protection locked="0"/>
    </xf>
    <xf numFmtId="0" fontId="12" fillId="0" borderId="0" xfId="6" applyFont="1" applyAlignment="1" applyProtection="1">
      <alignment vertical="top"/>
      <protection locked="0"/>
    </xf>
    <xf numFmtId="0" fontId="33" fillId="0" borderId="0" xfId="6" applyFont="1" applyAlignment="1" applyProtection="1">
      <alignment vertical="top" wrapText="1"/>
      <protection locked="0"/>
    </xf>
    <xf numFmtId="0" fontId="33" fillId="0" borderId="0" xfId="6" applyFont="1" applyAlignment="1" applyProtection="1">
      <alignment vertical="top"/>
      <protection locked="0"/>
    </xf>
    <xf numFmtId="0" fontId="3" fillId="0" borderId="0" xfId="6" applyFont="1" applyAlignment="1">
      <alignment vertical="top"/>
    </xf>
    <xf numFmtId="0" fontId="3" fillId="0" borderId="0" xfId="6" applyFont="1" applyAlignment="1" applyProtection="1">
      <alignment horizontal="left" vertical="top"/>
      <protection locked="0"/>
    </xf>
    <xf numFmtId="0" fontId="3" fillId="2" borderId="0" xfId="6" applyFont="1" applyFill="1" applyAlignment="1" applyProtection="1">
      <alignment horizontal="left" vertical="top"/>
      <protection locked="0"/>
    </xf>
    <xf numFmtId="0" fontId="34" fillId="0" borderId="0" xfId="6" applyFont="1" applyAlignment="1" applyProtection="1">
      <alignment vertical="top"/>
      <protection locked="0"/>
    </xf>
    <xf numFmtId="0" fontId="35" fillId="0" borderId="0" xfId="6" applyFont="1" applyAlignment="1" applyProtection="1">
      <alignment vertical="top" wrapText="1"/>
      <protection locked="0"/>
    </xf>
    <xf numFmtId="0" fontId="35" fillId="0" borderId="0" xfId="6" applyFont="1" applyAlignment="1" applyProtection="1">
      <alignment vertical="top"/>
      <protection locked="0"/>
    </xf>
    <xf numFmtId="0" fontId="14" fillId="0" borderId="0" xfId="6" applyFont="1" applyAlignment="1" applyProtection="1">
      <alignment vertical="top"/>
      <protection locked="0"/>
    </xf>
    <xf numFmtId="0" fontId="2" fillId="0" borderId="0" xfId="6" applyFont="1" applyAlignment="1" applyProtection="1">
      <alignment horizontal="left" vertical="top" wrapText="1"/>
      <protection locked="0"/>
    </xf>
    <xf numFmtId="0" fontId="2" fillId="0" borderId="0" xfId="6" applyFont="1" applyAlignment="1" applyProtection="1">
      <alignment horizontal="left" vertical="top"/>
      <protection locked="0"/>
    </xf>
    <xf numFmtId="170" fontId="60" fillId="0" borderId="0" xfId="1" applyBorder="1" applyProtection="1"/>
    <xf numFmtId="0" fontId="40" fillId="24" borderId="1" xfId="0" applyFont="1" applyFill="1" applyBorder="1" applyAlignment="1">
      <alignment horizontal="left" vertical="top"/>
    </xf>
    <xf numFmtId="170" fontId="40" fillId="24" borderId="1" xfId="1" applyFont="1" applyFill="1" applyBorder="1" applyAlignment="1" applyProtection="1">
      <alignment horizontal="left" vertical="top"/>
    </xf>
    <xf numFmtId="0" fontId="41" fillId="24" borderId="1" xfId="3" applyFill="1" applyBorder="1" applyAlignment="1" applyProtection="1">
      <alignment horizontal="left" vertical="top"/>
    </xf>
    <xf numFmtId="170" fontId="41" fillId="24" borderId="1" xfId="1" applyFont="1" applyFill="1" applyBorder="1" applyAlignment="1" applyProtection="1">
      <alignment horizontal="left" vertical="top"/>
    </xf>
    <xf numFmtId="0" fontId="42" fillId="14" borderId="1" xfId="8" applyFont="1" applyFill="1" applyBorder="1" applyAlignment="1">
      <alignment vertical="top"/>
    </xf>
    <xf numFmtId="170" fontId="42" fillId="14" borderId="1" xfId="1" applyFont="1" applyFill="1" applyBorder="1" applyAlignment="1" applyProtection="1">
      <alignment vertical="top"/>
    </xf>
    <xf numFmtId="171" fontId="42" fillId="14" borderId="1" xfId="1" applyNumberFormat="1" applyFont="1" applyFill="1" applyBorder="1" applyAlignment="1" applyProtection="1">
      <alignment horizontal="right" vertical="top"/>
    </xf>
    <xf numFmtId="172" fontId="1" fillId="14" borderId="1" xfId="8" applyNumberFormat="1" applyFill="1" applyBorder="1" applyAlignment="1">
      <alignment vertical="top"/>
    </xf>
    <xf numFmtId="170" fontId="1" fillId="14" borderId="1" xfId="1" applyFont="1" applyFill="1" applyBorder="1" applyAlignment="1" applyProtection="1">
      <alignment vertical="top"/>
    </xf>
    <xf numFmtId="172" fontId="42" fillId="15" borderId="1" xfId="8" applyNumberFormat="1" applyFont="1" applyFill="1" applyBorder="1" applyAlignment="1">
      <alignment horizontal="center" vertical="top"/>
    </xf>
    <xf numFmtId="171" fontId="42" fillId="29" borderId="1" xfId="1" applyNumberFormat="1" applyFont="1" applyFill="1" applyBorder="1" applyAlignment="1" applyProtection="1">
      <alignment horizontal="right" vertical="top"/>
    </xf>
    <xf numFmtId="172" fontId="1" fillId="29" borderId="1" xfId="8" applyNumberFormat="1" applyFill="1" applyBorder="1" applyAlignment="1">
      <alignment vertical="top"/>
    </xf>
    <xf numFmtId="170" fontId="1" fillId="29" borderId="1" xfId="1" applyFont="1" applyFill="1" applyBorder="1" applyAlignment="1" applyProtection="1">
      <alignment vertical="top"/>
    </xf>
    <xf numFmtId="172" fontId="42" fillId="29" borderId="1" xfId="8" applyNumberFormat="1" applyFont="1" applyFill="1" applyBorder="1" applyAlignment="1">
      <alignment horizontal="center" vertical="top"/>
    </xf>
    <xf numFmtId="1" fontId="42" fillId="0" borderId="1" xfId="8" applyNumberFormat="1" applyFont="1" applyBorder="1" applyAlignment="1">
      <alignment horizontal="right" vertical="top"/>
    </xf>
    <xf numFmtId="172" fontId="1" fillId="0" borderId="1" xfId="8" applyNumberFormat="1" applyBorder="1" applyAlignment="1">
      <alignment vertical="top"/>
    </xf>
    <xf numFmtId="170" fontId="1" fillId="0" borderId="1" xfId="1" applyFont="1" applyBorder="1" applyAlignment="1" applyProtection="1">
      <alignment vertical="top"/>
    </xf>
    <xf numFmtId="172" fontId="1" fillId="15" borderId="1" xfId="8" applyNumberFormat="1" applyFill="1" applyBorder="1" applyAlignment="1">
      <alignment horizontal="center" vertical="top"/>
    </xf>
    <xf numFmtId="171" fontId="42" fillId="0" borderId="4" xfId="1" applyNumberFormat="1" applyFont="1" applyBorder="1" applyAlignment="1" applyProtection="1">
      <alignment horizontal="right" vertical="top"/>
    </xf>
    <xf numFmtId="1" fontId="42" fillId="0" borderId="1" xfId="8" applyNumberFormat="1" applyFont="1" applyBorder="1" applyAlignment="1">
      <alignment horizontal="center" vertical="top"/>
    </xf>
    <xf numFmtId="170" fontId="42" fillId="0" borderId="1" xfId="1" applyFont="1" applyBorder="1" applyAlignment="1" applyProtection="1">
      <alignment horizontal="center" vertical="top"/>
    </xf>
    <xf numFmtId="171" fontId="42" fillId="14" borderId="1" xfId="1" applyNumberFormat="1" applyFont="1" applyFill="1" applyBorder="1" applyAlignment="1" applyProtection="1">
      <alignment horizontal="center" vertical="top"/>
    </xf>
    <xf numFmtId="172" fontId="0" fillId="2" borderId="1" xfId="0" applyNumberFormat="1" applyFill="1" applyBorder="1" applyAlignment="1">
      <alignment vertical="top"/>
    </xf>
    <xf numFmtId="172" fontId="42" fillId="31" borderId="4" xfId="8" applyNumberFormat="1" applyFont="1" applyFill="1" applyBorder="1" applyAlignment="1">
      <alignment horizontal="center" vertical="top" wrapText="1"/>
    </xf>
    <xf numFmtId="172" fontId="42" fillId="2" borderId="4" xfId="8" applyNumberFormat="1" applyFont="1" applyFill="1" applyBorder="1" applyAlignment="1">
      <alignment horizontal="center" vertical="top"/>
    </xf>
    <xf numFmtId="170" fontId="42" fillId="31" borderId="4" xfId="1" applyFont="1" applyFill="1" applyBorder="1" applyAlignment="1" applyProtection="1">
      <alignment vertical="top"/>
    </xf>
    <xf numFmtId="170" fontId="42" fillId="31" borderId="4" xfId="1" applyFont="1" applyFill="1" applyBorder="1" applyAlignment="1" applyProtection="1">
      <alignment vertical="top" wrapText="1"/>
    </xf>
    <xf numFmtId="172" fontId="1" fillId="15" borderId="4" xfId="8" applyNumberFormat="1" applyFill="1" applyBorder="1" applyAlignment="1">
      <alignment vertical="top"/>
    </xf>
    <xf numFmtId="172" fontId="1" fillId="0" borderId="1" xfId="8" applyNumberFormat="1" applyBorder="1" applyAlignment="1">
      <alignment horizontal="center" vertical="top"/>
    </xf>
    <xf numFmtId="170" fontId="1" fillId="14" borderId="1" xfId="1" applyFont="1" applyFill="1" applyBorder="1" applyAlignment="1" applyProtection="1">
      <alignment horizontal="center" vertical="top"/>
    </xf>
    <xf numFmtId="170" fontId="1" fillId="0" borderId="1" xfId="1" applyFont="1" applyBorder="1" applyAlignment="1" applyProtection="1">
      <alignment horizontal="center" vertical="top"/>
    </xf>
    <xf numFmtId="170" fontId="60" fillId="14" borderId="1" xfId="1" applyFill="1" applyBorder="1" applyAlignment="1" applyProtection="1">
      <alignment vertical="top"/>
    </xf>
    <xf numFmtId="170" fontId="1" fillId="15" borderId="1" xfId="1" applyFont="1" applyFill="1" applyBorder="1" applyAlignment="1" applyProtection="1">
      <alignment horizontal="center" vertical="top"/>
    </xf>
    <xf numFmtId="0" fontId="42" fillId="14" borderId="2" xfId="8" applyFont="1" applyFill="1" applyBorder="1" applyAlignment="1">
      <alignment horizontal="left" vertical="top"/>
    </xf>
    <xf numFmtId="170" fontId="1" fillId="25" borderId="1" xfId="1" applyFont="1" applyFill="1" applyBorder="1" applyAlignment="1" applyProtection="1">
      <alignment horizontal="center" vertical="top"/>
    </xf>
    <xf numFmtId="170" fontId="42" fillId="15" borderId="1" xfId="1" applyFont="1" applyFill="1" applyBorder="1" applyAlignment="1" applyProtection="1">
      <alignment horizontal="center" vertical="top"/>
    </xf>
    <xf numFmtId="0" fontId="1" fillId="14" borderId="1" xfId="8" applyFill="1" applyBorder="1" applyAlignment="1">
      <alignment horizontal="left" vertical="top"/>
    </xf>
    <xf numFmtId="170" fontId="1" fillId="32" borderId="1" xfId="1" applyFont="1" applyFill="1" applyBorder="1" applyAlignment="1" applyProtection="1">
      <alignment horizontal="center" vertical="top"/>
    </xf>
    <xf numFmtId="172" fontId="42" fillId="0" borderId="1" xfId="8" applyNumberFormat="1" applyFont="1" applyBorder="1" applyAlignment="1">
      <alignment horizontal="center" vertical="top"/>
    </xf>
    <xf numFmtId="170" fontId="42" fillId="19" borderId="1" xfId="1" applyFont="1" applyFill="1" applyBorder="1" applyAlignment="1" applyProtection="1">
      <alignment horizontal="center" vertical="top"/>
    </xf>
    <xf numFmtId="170" fontId="1" fillId="16" borderId="1" xfId="1" applyFont="1" applyFill="1" applyBorder="1" applyAlignment="1" applyProtection="1">
      <alignment horizontal="center" vertical="top"/>
    </xf>
    <xf numFmtId="172" fontId="42" fillId="33" borderId="1" xfId="8" applyNumberFormat="1" applyFont="1" applyFill="1" applyBorder="1" applyAlignment="1">
      <alignment horizontal="center" vertical="top"/>
    </xf>
    <xf numFmtId="170" fontId="42" fillId="33" borderId="1" xfId="1" applyFont="1" applyFill="1" applyBorder="1" applyAlignment="1" applyProtection="1">
      <alignment horizontal="center" vertical="top"/>
    </xf>
    <xf numFmtId="170" fontId="42" fillId="2" borderId="1" xfId="1" applyFont="1" applyFill="1" applyBorder="1" applyAlignment="1" applyProtection="1">
      <alignment horizontal="center" vertical="top"/>
    </xf>
    <xf numFmtId="170" fontId="0" fillId="0" borderId="0" xfId="0" applyNumberFormat="1"/>
    <xf numFmtId="171" fontId="45" fillId="24" borderId="1" xfId="1" applyNumberFormat="1" applyFont="1" applyFill="1" applyBorder="1" applyAlignment="1" applyProtection="1">
      <alignment horizontal="center" vertical="top" wrapText="1"/>
    </xf>
    <xf numFmtId="171" fontId="45" fillId="24" borderId="4" xfId="1" applyNumberFormat="1" applyFont="1" applyFill="1" applyBorder="1" applyAlignment="1" applyProtection="1">
      <alignment horizontal="center" vertical="top" wrapText="1"/>
    </xf>
    <xf numFmtId="0" fontId="47" fillId="15" borderId="1" xfId="0" applyFont="1" applyFill="1" applyBorder="1" applyAlignment="1">
      <alignment horizontal="left" vertical="top" wrapText="1"/>
    </xf>
    <xf numFmtId="0" fontId="2" fillId="15" borderId="3" xfId="6" applyFont="1" applyFill="1" applyBorder="1" applyAlignment="1" applyProtection="1">
      <alignment vertical="top" wrapText="1"/>
      <protection locked="0"/>
    </xf>
    <xf numFmtId="0" fontId="2" fillId="15" borderId="0" xfId="6" applyFont="1" applyFill="1" applyAlignment="1" applyProtection="1">
      <alignment vertical="top" wrapText="1"/>
      <protection locked="0"/>
    </xf>
    <xf numFmtId="0" fontId="48" fillId="0" borderId="1" xfId="0" applyFont="1" applyBorder="1" applyAlignment="1">
      <alignment vertical="top" wrapText="1"/>
    </xf>
    <xf numFmtId="0" fontId="0" fillId="0" borderId="1" xfId="0" applyBorder="1"/>
    <xf numFmtId="9" fontId="60" fillId="0" borderId="1" xfId="2" applyBorder="1" applyProtection="1"/>
    <xf numFmtId="168" fontId="0" fillId="0" borderId="1" xfId="0" applyNumberFormat="1" applyBorder="1"/>
    <xf numFmtId="0" fontId="47" fillId="24" borderId="1" xfId="0" applyFont="1" applyFill="1" applyBorder="1" applyAlignment="1">
      <alignment vertical="top" wrapText="1"/>
    </xf>
    <xf numFmtId="168" fontId="2" fillId="24" borderId="1" xfId="4" applyNumberFormat="1" applyFont="1" applyFill="1" applyBorder="1" applyAlignment="1" applyProtection="1">
      <alignment vertical="top" wrapText="1"/>
    </xf>
    <xf numFmtId="0" fontId="0" fillId="24" borderId="0" xfId="0" applyFill="1"/>
    <xf numFmtId="9" fontId="60" fillId="24" borderId="0" xfId="2" applyFill="1" applyBorder="1" applyProtection="1"/>
    <xf numFmtId="0" fontId="49" fillId="21" borderId="1" xfId="0" applyFont="1" applyFill="1" applyBorder="1" applyAlignment="1">
      <alignment vertical="top" wrapText="1"/>
    </xf>
    <xf numFmtId="168" fontId="2" fillId="21" borderId="8" xfId="7" applyNumberFormat="1" applyFont="1" applyFill="1" applyBorder="1" applyAlignment="1" applyProtection="1">
      <alignment vertical="top"/>
      <protection locked="0"/>
    </xf>
    <xf numFmtId="9" fontId="60" fillId="21" borderId="0" xfId="2" applyFill="1" applyBorder="1" applyProtection="1"/>
    <xf numFmtId="0" fontId="50" fillId="20" borderId="1" xfId="0" applyFont="1" applyFill="1" applyBorder="1" applyAlignment="1">
      <alignment horizontal="left" vertical="top" wrapText="1"/>
    </xf>
    <xf numFmtId="168" fontId="2" fillId="34" borderId="3" xfId="7" applyNumberFormat="1" applyFont="1" applyFill="1" applyBorder="1" applyAlignment="1" applyProtection="1">
      <alignment vertical="top"/>
      <protection locked="0"/>
    </xf>
    <xf numFmtId="168" fontId="2" fillId="34" borderId="0" xfId="7" applyNumberFormat="1" applyFont="1" applyFill="1" applyAlignment="1" applyProtection="1">
      <alignment vertical="top"/>
      <protection locked="0"/>
    </xf>
    <xf numFmtId="0" fontId="50" fillId="0" borderId="1" xfId="0" applyFont="1" applyBorder="1" applyAlignment="1">
      <alignment vertical="top" wrapText="1"/>
    </xf>
    <xf numFmtId="0" fontId="51" fillId="21" borderId="1" xfId="0" applyFont="1" applyFill="1" applyBorder="1" applyAlignment="1" applyProtection="1">
      <alignment vertical="top" wrapText="1"/>
      <protection locked="0"/>
    </xf>
    <xf numFmtId="168" fontId="12" fillId="21" borderId="8" xfId="6" applyNumberFormat="1" applyFont="1" applyFill="1" applyBorder="1" applyAlignment="1" applyProtection="1">
      <alignment vertical="top"/>
      <protection locked="0"/>
    </xf>
    <xf numFmtId="168" fontId="12" fillId="21" borderId="9" xfId="6" applyNumberFormat="1" applyFont="1" applyFill="1" applyBorder="1" applyAlignment="1" applyProtection="1">
      <alignment vertical="top"/>
      <protection locked="0"/>
    </xf>
    <xf numFmtId="168" fontId="2" fillId="34" borderId="1" xfId="7" applyNumberFormat="1" applyFont="1" applyFill="1" applyBorder="1" applyAlignment="1" applyProtection="1">
      <alignment vertical="top"/>
      <protection locked="0"/>
    </xf>
    <xf numFmtId="0" fontId="12" fillId="12" borderId="1" xfId="6" applyFont="1" applyFill="1" applyBorder="1" applyAlignment="1" applyProtection="1">
      <alignment horizontal="right" vertical="top"/>
      <protection locked="0"/>
    </xf>
    <xf numFmtId="0" fontId="51" fillId="12" borderId="1" xfId="0" applyFont="1" applyFill="1" applyBorder="1" applyAlignment="1" applyProtection="1">
      <alignment vertical="top" wrapText="1"/>
      <protection locked="0"/>
    </xf>
    <xf numFmtId="9" fontId="60" fillId="0" borderId="0" xfId="2" applyBorder="1" applyProtection="1"/>
    <xf numFmtId="0" fontId="51" fillId="15" borderId="1" xfId="0" applyFont="1" applyFill="1" applyBorder="1" applyAlignment="1" applyProtection="1">
      <alignment vertical="top" wrapText="1"/>
      <protection locked="0"/>
    </xf>
    <xf numFmtId="168" fontId="12" fillId="34" borderId="1" xfId="6" applyNumberFormat="1" applyFont="1" applyFill="1" applyBorder="1" applyAlignment="1" applyProtection="1">
      <alignment vertical="top"/>
      <protection locked="0"/>
    </xf>
    <xf numFmtId="0" fontId="0" fillId="2" borderId="1" xfId="0" applyFill="1" applyBorder="1"/>
    <xf numFmtId="0" fontId="52" fillId="0" borderId="1" xfId="0" applyFont="1" applyBorder="1" applyAlignment="1">
      <alignment horizontal="left" vertical="top" wrapText="1"/>
    </xf>
    <xf numFmtId="0" fontId="12" fillId="34" borderId="1" xfId="6" applyFont="1" applyFill="1" applyBorder="1" applyAlignment="1" applyProtection="1">
      <alignment vertical="top"/>
      <protection locked="0"/>
    </xf>
    <xf numFmtId="9" fontId="60" fillId="21" borderId="1" xfId="2" applyFill="1" applyBorder="1" applyProtection="1"/>
    <xf numFmtId="0" fontId="51" fillId="20" borderId="1" xfId="0" applyFont="1" applyFill="1" applyBorder="1" applyAlignment="1" applyProtection="1">
      <alignment vertical="top" wrapText="1"/>
      <protection locked="0"/>
    </xf>
    <xf numFmtId="168" fontId="12" fillId="12" borderId="4" xfId="6" applyNumberFormat="1" applyFont="1" applyFill="1" applyBorder="1" applyAlignment="1" applyProtection="1">
      <alignment vertical="top"/>
      <protection locked="0"/>
    </xf>
    <xf numFmtId="0" fontId="0" fillId="15" borderId="1" xfId="0" applyFill="1" applyBorder="1"/>
    <xf numFmtId="168" fontId="2" fillId="34" borderId="1" xfId="7" applyNumberFormat="1" applyFont="1" applyFill="1" applyBorder="1" applyAlignment="1" applyProtection="1">
      <alignment horizontal="left" vertical="top"/>
      <protection locked="0"/>
    </xf>
    <xf numFmtId="168" fontId="2" fillId="21" borderId="9" xfId="7" applyNumberFormat="1" applyFont="1" applyFill="1" applyBorder="1" applyAlignment="1" applyProtection="1">
      <alignment vertical="top"/>
      <protection locked="0"/>
    </xf>
    <xf numFmtId="0" fontId="49" fillId="20" borderId="1" xfId="0" applyFont="1" applyFill="1" applyBorder="1" applyAlignment="1">
      <alignment horizontal="left" vertical="top" wrapText="1"/>
    </xf>
    <xf numFmtId="168" fontId="2" fillId="21" borderId="9" xfId="2" applyNumberFormat="1" applyFont="1" applyFill="1" applyBorder="1" applyAlignment="1" applyProtection="1">
      <alignment vertical="top" wrapText="1"/>
      <protection locked="0"/>
    </xf>
    <xf numFmtId="9" fontId="60" fillId="12" borderId="0" xfId="2" applyFill="1" applyBorder="1" applyProtection="1"/>
    <xf numFmtId="0" fontId="9" fillId="20" borderId="1" xfId="7" applyFont="1" applyFill="1" applyBorder="1" applyAlignment="1" applyProtection="1">
      <alignment horizontal="center" vertical="top" wrapText="1"/>
      <protection locked="0"/>
    </xf>
    <xf numFmtId="0" fontId="48" fillId="20" borderId="1" xfId="0" applyFont="1" applyFill="1" applyBorder="1" applyAlignment="1">
      <alignment vertical="top" wrapText="1"/>
    </xf>
    <xf numFmtId="0" fontId="0" fillId="20" borderId="1" xfId="0" applyFill="1" applyBorder="1"/>
    <xf numFmtId="9" fontId="60" fillId="20" borderId="1" xfId="2" applyFill="1" applyBorder="1" applyProtection="1"/>
    <xf numFmtId="168" fontId="0" fillId="20" borderId="1" xfId="0" applyNumberFormat="1" applyFill="1" applyBorder="1"/>
    <xf numFmtId="0" fontId="51" fillId="27" borderId="1" xfId="0" applyFont="1" applyFill="1" applyBorder="1" applyAlignment="1" applyProtection="1">
      <alignment vertical="top" wrapText="1"/>
      <protection locked="0"/>
    </xf>
    <xf numFmtId="168" fontId="12" fillId="35" borderId="1" xfId="6" applyNumberFormat="1" applyFont="1" applyFill="1" applyBorder="1" applyAlignment="1" applyProtection="1">
      <alignment vertical="top"/>
      <protection locked="0"/>
    </xf>
    <xf numFmtId="168" fontId="12" fillId="35" borderId="9" xfId="6" applyNumberFormat="1" applyFont="1" applyFill="1" applyBorder="1" applyAlignment="1" applyProtection="1">
      <alignment vertical="top"/>
      <protection locked="0"/>
    </xf>
    <xf numFmtId="9" fontId="60" fillId="27" borderId="0" xfId="2" applyFill="1" applyBorder="1" applyProtection="1"/>
    <xf numFmtId="168" fontId="12" fillId="27" borderId="9" xfId="6" applyNumberFormat="1" applyFont="1" applyFill="1" applyBorder="1" applyAlignment="1" applyProtection="1">
      <alignment vertical="top"/>
      <protection locked="0"/>
    </xf>
    <xf numFmtId="0" fontId="2" fillId="27" borderId="1" xfId="7" applyFont="1" applyFill="1" applyBorder="1" applyAlignment="1" applyProtection="1">
      <alignment horizontal="right" vertical="top" wrapText="1"/>
      <protection locked="0"/>
    </xf>
    <xf numFmtId="0" fontId="0" fillId="0" borderId="9" xfId="0" applyBorder="1"/>
    <xf numFmtId="0" fontId="12" fillId="10" borderId="1" xfId="6" applyFont="1" applyFill="1" applyBorder="1" applyAlignment="1" applyProtection="1">
      <alignment horizontal="right" vertical="top"/>
      <protection locked="0"/>
    </xf>
    <xf numFmtId="0" fontId="47" fillId="10" borderId="1" xfId="6" applyFont="1" applyFill="1" applyBorder="1" applyAlignment="1" applyProtection="1">
      <alignment vertical="top" wrapText="1"/>
      <protection locked="0"/>
    </xf>
    <xf numFmtId="168" fontId="12" fillId="10" borderId="1" xfId="6" applyNumberFormat="1" applyFont="1" applyFill="1" applyBorder="1" applyAlignment="1" applyProtection="1">
      <alignment vertical="top"/>
      <protection locked="0"/>
    </xf>
    <xf numFmtId="168" fontId="12" fillId="10" borderId="4" xfId="6" applyNumberFormat="1" applyFont="1" applyFill="1" applyBorder="1" applyAlignment="1" applyProtection="1">
      <alignment vertical="top"/>
      <protection locked="0"/>
    </xf>
    <xf numFmtId="9" fontId="60" fillId="10" borderId="0" xfId="2" applyFill="1" applyBorder="1" applyProtection="1"/>
    <xf numFmtId="0" fontId="31" fillId="20" borderId="1" xfId="6" applyFont="1" applyFill="1" applyBorder="1" applyAlignment="1" applyProtection="1">
      <alignment horizontal="right" vertical="top"/>
      <protection locked="0"/>
    </xf>
    <xf numFmtId="0" fontId="47" fillId="20" borderId="1" xfId="6" applyFont="1" applyFill="1" applyBorder="1" applyAlignment="1" applyProtection="1">
      <alignment vertical="top" wrapText="1"/>
      <protection locked="0"/>
    </xf>
    <xf numFmtId="0" fontId="48" fillId="0" borderId="1" xfId="6" applyFont="1" applyBorder="1" applyAlignment="1" applyProtection="1">
      <alignment vertical="top" wrapText="1"/>
      <protection locked="0"/>
    </xf>
    <xf numFmtId="168" fontId="12" fillId="10" borderId="8" xfId="6" applyNumberFormat="1" applyFont="1" applyFill="1" applyBorder="1" applyAlignment="1" applyProtection="1">
      <alignment vertical="top"/>
      <protection locked="0"/>
    </xf>
    <xf numFmtId="0" fontId="2" fillId="20" borderId="1" xfId="6" applyFont="1" applyFill="1" applyBorder="1" applyAlignment="1" applyProtection="1">
      <alignment vertical="top"/>
      <protection locked="0"/>
    </xf>
    <xf numFmtId="0" fontId="49" fillId="20" borderId="1" xfId="6" applyFont="1" applyFill="1" applyBorder="1" applyAlignment="1" applyProtection="1">
      <alignment vertical="top" wrapText="1"/>
      <protection locked="0"/>
    </xf>
    <xf numFmtId="168" fontId="2" fillId="34" borderId="1" xfId="6" applyNumberFormat="1" applyFont="1" applyFill="1" applyBorder="1" applyAlignment="1" applyProtection="1">
      <alignment vertical="top"/>
      <protection locked="0"/>
    </xf>
    <xf numFmtId="0" fontId="48" fillId="0" borderId="1" xfId="0" applyFont="1" applyBorder="1" applyAlignment="1">
      <alignment horizontal="left" vertical="top" wrapText="1"/>
    </xf>
    <xf numFmtId="0" fontId="12" fillId="10" borderId="1" xfId="6" applyFont="1" applyFill="1" applyBorder="1" applyAlignment="1" applyProtection="1">
      <alignment vertical="top"/>
      <protection locked="0"/>
    </xf>
    <xf numFmtId="168" fontId="12" fillId="10" borderId="9" xfId="6" applyNumberFormat="1" applyFont="1" applyFill="1" applyBorder="1" applyAlignment="1" applyProtection="1">
      <alignment vertical="top"/>
      <protection locked="0"/>
    </xf>
    <xf numFmtId="0" fontId="47" fillId="20" borderId="1" xfId="0" applyFont="1" applyFill="1" applyBorder="1" applyAlignment="1">
      <alignment horizontal="left" vertical="top" wrapText="1"/>
    </xf>
    <xf numFmtId="0" fontId="47" fillId="10" borderId="1" xfId="0" applyFont="1" applyFill="1" applyBorder="1" applyAlignment="1">
      <alignment vertical="top" wrapText="1"/>
    </xf>
    <xf numFmtId="0" fontId="4" fillId="10" borderId="4" xfId="6" applyFont="1" applyFill="1" applyBorder="1" applyAlignment="1" applyProtection="1">
      <alignment vertical="top"/>
      <protection locked="0"/>
    </xf>
    <xf numFmtId="0" fontId="47" fillId="10" borderId="4" xfId="6" applyFont="1" applyFill="1" applyBorder="1" applyAlignment="1" applyProtection="1">
      <alignment vertical="top" wrapText="1"/>
      <protection locked="0"/>
    </xf>
    <xf numFmtId="0" fontId="32" fillId="14" borderId="1" xfId="6" applyFont="1" applyFill="1" applyBorder="1" applyAlignment="1" applyProtection="1">
      <alignment vertical="top"/>
      <protection locked="0"/>
    </xf>
    <xf numFmtId="0" fontId="47" fillId="14" borderId="1" xfId="6" applyFont="1" applyFill="1" applyBorder="1" applyAlignment="1">
      <alignment vertical="top" wrapText="1"/>
    </xf>
    <xf numFmtId="170" fontId="4" fillId="14" borderId="1" xfId="1" applyFont="1" applyFill="1" applyBorder="1" applyAlignment="1" applyProtection="1">
      <alignment vertical="top"/>
      <protection locked="0"/>
    </xf>
    <xf numFmtId="0" fontId="0" fillId="0" borderId="0" xfId="0" applyAlignment="1">
      <alignment horizontal="center"/>
    </xf>
    <xf numFmtId="174" fontId="53" fillId="10" borderId="13" xfId="9" applyNumberFormat="1" applyFont="1" applyFill="1" applyBorder="1" applyAlignment="1">
      <alignment horizontal="left" vertical="top"/>
    </xf>
    <xf numFmtId="0" fontId="53" fillId="10" borderId="14" xfId="9" applyFont="1" applyFill="1" applyBorder="1" applyAlignment="1">
      <alignment horizontal="center" vertical="top"/>
    </xf>
    <xf numFmtId="174" fontId="54" fillId="0" borderId="16" xfId="9" applyNumberFormat="1" applyFont="1" applyBorder="1" applyAlignment="1">
      <alignment horizontal="right" vertical="top"/>
    </xf>
    <xf numFmtId="175" fontId="53" fillId="0" borderId="17" xfId="5" applyNumberFormat="1" applyFont="1" applyBorder="1" applyAlignment="1" applyProtection="1">
      <alignment horizontal="center" vertical="top"/>
    </xf>
    <xf numFmtId="0" fontId="53" fillId="0" borderId="1" xfId="9" applyFont="1" applyBorder="1" applyAlignment="1">
      <alignment horizontal="right" vertical="top"/>
    </xf>
    <xf numFmtId="170" fontId="53" fillId="0" borderId="3" xfId="1" applyFont="1" applyBorder="1" applyAlignment="1" applyProtection="1">
      <alignment horizontal="center" vertical="top"/>
    </xf>
    <xf numFmtId="0" fontId="53" fillId="0" borderId="19" xfId="9" applyFont="1" applyBorder="1" applyAlignment="1">
      <alignment horizontal="center" vertical="top"/>
    </xf>
    <xf numFmtId="0" fontId="53" fillId="0" borderId="12" xfId="9" applyFont="1" applyBorder="1" applyAlignment="1">
      <alignment horizontal="center" vertical="top"/>
    </xf>
    <xf numFmtId="0" fontId="53" fillId="0" borderId="20" xfId="9" applyFont="1" applyBorder="1" applyAlignment="1">
      <alignment horizontal="center" vertical="top"/>
    </xf>
    <xf numFmtId="0" fontId="53" fillId="0" borderId="1" xfId="5" applyNumberFormat="1" applyFont="1" applyBorder="1" applyAlignment="1" applyProtection="1">
      <alignment horizontal="center" vertical="top"/>
    </xf>
    <xf numFmtId="0" fontId="53" fillId="0" borderId="0" xfId="9" applyFont="1" applyAlignment="1">
      <alignment horizontal="center" vertical="top"/>
    </xf>
    <xf numFmtId="167" fontId="43" fillId="0" borderId="1" xfId="9" applyNumberFormat="1" applyFont="1" applyBorder="1" applyAlignment="1">
      <alignment horizontal="right" vertical="top"/>
    </xf>
    <xf numFmtId="170" fontId="43" fillId="2" borderId="3" xfId="1" applyFont="1" applyFill="1" applyBorder="1" applyAlignment="1" applyProtection="1">
      <alignment horizontal="center" vertical="top"/>
    </xf>
    <xf numFmtId="0" fontId="53" fillId="0" borderId="21" xfId="9" applyFont="1" applyBorder="1" applyAlignment="1">
      <alignment horizontal="center" vertical="top"/>
    </xf>
    <xf numFmtId="0" fontId="43" fillId="0" borderId="1" xfId="5" applyNumberFormat="1" applyFont="1" applyBorder="1" applyAlignment="1" applyProtection="1">
      <alignment horizontal="right" vertical="top"/>
    </xf>
    <xf numFmtId="170" fontId="43" fillId="8" borderId="3" xfId="1" applyFont="1" applyFill="1" applyBorder="1" applyAlignment="1" applyProtection="1">
      <alignment horizontal="center" vertical="top"/>
    </xf>
    <xf numFmtId="0" fontId="53" fillId="7" borderId="1" xfId="9" applyFont="1" applyFill="1" applyBorder="1" applyAlignment="1">
      <alignment horizontal="right" vertical="top"/>
    </xf>
    <xf numFmtId="170" fontId="43" fillId="7" borderId="3" xfId="1" applyFont="1" applyFill="1" applyBorder="1" applyAlignment="1" applyProtection="1">
      <alignment horizontal="center" vertical="top"/>
    </xf>
    <xf numFmtId="0" fontId="57" fillId="36" borderId="9" xfId="0" applyFont="1" applyFill="1" applyBorder="1" applyAlignment="1">
      <alignment horizontal="center" vertical="top" wrapText="1"/>
    </xf>
    <xf numFmtId="0" fontId="58" fillId="36" borderId="9" xfId="9" applyFont="1" applyFill="1" applyBorder="1" applyAlignment="1">
      <alignment horizontal="center" vertical="center" wrapText="1"/>
    </xf>
    <xf numFmtId="3" fontId="58" fillId="10" borderId="9" xfId="9" applyNumberFormat="1" applyFont="1" applyFill="1" applyBorder="1" applyAlignment="1">
      <alignment horizontal="center" vertical="center" wrapText="1"/>
    </xf>
    <xf numFmtId="174" fontId="58" fillId="36" borderId="1" xfId="9" applyNumberFormat="1" applyFont="1" applyFill="1" applyBorder="1" applyAlignment="1">
      <alignment horizontal="center" vertical="center" wrapText="1"/>
    </xf>
    <xf numFmtId="0" fontId="58" fillId="36" borderId="1" xfId="9" applyFont="1" applyFill="1" applyBorder="1" applyAlignment="1">
      <alignment horizontal="center" vertical="center" wrapText="1"/>
    </xf>
    <xf numFmtId="3" fontId="58" fillId="36" borderId="1" xfId="9" applyNumberFormat="1" applyFont="1" applyFill="1" applyBorder="1" applyAlignment="1">
      <alignment horizontal="center" vertical="center" wrapText="1"/>
    </xf>
    <xf numFmtId="3" fontId="58" fillId="6" borderId="1" xfId="9" applyNumberFormat="1" applyFont="1" applyFill="1" applyBorder="1" applyAlignment="1">
      <alignment horizontal="center" vertical="center" wrapText="1"/>
    </xf>
    <xf numFmtId="3" fontId="58" fillId="25" borderId="1" xfId="9" applyNumberFormat="1" applyFont="1" applyFill="1" applyBorder="1" applyAlignment="1">
      <alignment horizontal="center" vertical="center" wrapText="1"/>
    </xf>
    <xf numFmtId="0" fontId="0" fillId="15" borderId="0" xfId="0" applyFill="1" applyAlignment="1">
      <alignment horizontal="center"/>
    </xf>
    <xf numFmtId="0" fontId="21" fillId="0" borderId="1" xfId="0" applyFont="1" applyBorder="1" applyAlignment="1">
      <alignment horizontal="center"/>
    </xf>
    <xf numFmtId="0" fontId="12" fillId="6" borderId="1" xfId="0" applyFont="1" applyFill="1" applyBorder="1" applyAlignment="1">
      <alignment vertical="top"/>
    </xf>
    <xf numFmtId="0" fontId="12" fillId="6" borderId="1" xfId="0" applyFont="1" applyFill="1" applyBorder="1" applyAlignment="1">
      <alignment vertical="top" wrapText="1"/>
    </xf>
    <xf numFmtId="168" fontId="2" fillId="6" borderId="1" xfId="4" applyNumberFormat="1" applyFont="1" applyFill="1" applyBorder="1" applyAlignment="1" applyProtection="1">
      <alignment vertical="top" wrapText="1"/>
    </xf>
    <xf numFmtId="3" fontId="21" fillId="6" borderId="1" xfId="0" applyNumberFormat="1" applyFont="1" applyFill="1" applyBorder="1" applyAlignment="1">
      <alignment horizontal="center"/>
    </xf>
    <xf numFmtId="0" fontId="21" fillId="6" borderId="1" xfId="0" applyFont="1" applyFill="1" applyBorder="1" applyAlignment="1">
      <alignment horizontal="center"/>
    </xf>
    <xf numFmtId="168" fontId="21" fillId="6" borderId="1" xfId="0" applyNumberFormat="1" applyFont="1" applyFill="1" applyBorder="1" applyAlignment="1">
      <alignment horizontal="center"/>
    </xf>
    <xf numFmtId="0" fontId="3" fillId="20" borderId="1" xfId="7" applyFont="1" applyFill="1" applyBorder="1" applyAlignment="1" applyProtection="1">
      <alignment horizontal="right" vertical="top" wrapText="1"/>
      <protection locked="0"/>
    </xf>
    <xf numFmtId="0" fontId="4" fillId="20" borderId="1" xfId="0" applyFont="1" applyFill="1" applyBorder="1" applyAlignment="1">
      <alignment vertical="top" wrapText="1"/>
    </xf>
    <xf numFmtId="0" fontId="21" fillId="20" borderId="0" xfId="0" applyFont="1" applyFill="1" applyAlignment="1">
      <alignment horizontal="center"/>
    </xf>
    <xf numFmtId="168" fontId="2" fillId="0" borderId="1" xfId="4" applyNumberFormat="1" applyFont="1" applyBorder="1" applyAlignment="1" applyProtection="1">
      <alignment horizontal="center" vertical="center" wrapText="1"/>
    </xf>
    <xf numFmtId="0" fontId="2" fillId="6" borderId="1" xfId="7" applyFont="1" applyFill="1" applyBorder="1" applyAlignment="1" applyProtection="1">
      <alignment horizontal="right" vertical="top" wrapText="1"/>
      <protection locked="0"/>
    </xf>
    <xf numFmtId="171" fontId="21" fillId="6" borderId="1" xfId="1" applyNumberFormat="1" applyFont="1" applyFill="1" applyBorder="1" applyProtection="1"/>
    <xf numFmtId="0" fontId="3" fillId="21" borderId="1" xfId="0" applyFont="1" applyFill="1" applyBorder="1" applyAlignment="1">
      <alignment vertical="top" wrapText="1"/>
    </xf>
    <xf numFmtId="0" fontId="2" fillId="20" borderId="1" xfId="0" applyFont="1" applyFill="1" applyBorder="1" applyAlignment="1">
      <alignment horizontal="left" vertical="top" wrapText="1"/>
    </xf>
    <xf numFmtId="0" fontId="2" fillId="6" borderId="1" xfId="0" applyFont="1" applyFill="1" applyBorder="1" applyAlignment="1">
      <alignment vertical="top" wrapText="1"/>
    </xf>
    <xf numFmtId="171" fontId="21" fillId="21" borderId="1" xfId="1" applyNumberFormat="1" applyFont="1" applyFill="1" applyBorder="1" applyAlignment="1" applyProtection="1">
      <alignment horizontal="center"/>
    </xf>
    <xf numFmtId="0" fontId="21" fillId="21" borderId="1" xfId="0" applyFont="1" applyFill="1" applyBorder="1" applyAlignment="1">
      <alignment horizontal="center"/>
    </xf>
    <xf numFmtId="168" fontId="21" fillId="21" borderId="1" xfId="0" applyNumberFormat="1" applyFont="1" applyFill="1" applyBorder="1" applyAlignment="1">
      <alignment horizontal="center"/>
    </xf>
    <xf numFmtId="0" fontId="59" fillId="21" borderId="1" xfId="0" applyFont="1" applyFill="1" applyBorder="1" applyAlignment="1" applyProtection="1">
      <alignment vertical="top" wrapText="1"/>
      <protection locked="0"/>
    </xf>
    <xf numFmtId="0" fontId="0" fillId="0" borderId="0" xfId="0" applyAlignment="1">
      <alignment wrapText="1"/>
    </xf>
    <xf numFmtId="3" fontId="21" fillId="21" borderId="1" xfId="0" applyNumberFormat="1" applyFont="1" applyFill="1" applyBorder="1" applyAlignment="1">
      <alignment horizontal="center"/>
    </xf>
    <xf numFmtId="171" fontId="21" fillId="21" borderId="1" xfId="0" applyNumberFormat="1" applyFont="1" applyFill="1" applyBorder="1" applyAlignment="1">
      <alignment horizontal="center"/>
    </xf>
    <xf numFmtId="0" fontId="0" fillId="0" borderId="0" xfId="0" applyAlignment="1">
      <alignment vertical="top" wrapText="1"/>
    </xf>
    <xf numFmtId="0" fontId="59" fillId="12" borderId="1" xfId="0" applyFont="1" applyFill="1" applyBorder="1" applyAlignment="1" applyProtection="1">
      <alignment vertical="top" wrapText="1"/>
      <protection locked="0"/>
    </xf>
    <xf numFmtId="171" fontId="21" fillId="12" borderId="1" xfId="0" applyNumberFormat="1" applyFont="1" applyFill="1" applyBorder="1" applyAlignment="1">
      <alignment horizontal="center"/>
    </xf>
    <xf numFmtId="0" fontId="21" fillId="12" borderId="1" xfId="0" applyFont="1" applyFill="1" applyBorder="1" applyAlignment="1">
      <alignment horizontal="center"/>
    </xf>
    <xf numFmtId="168" fontId="21" fillId="12" borderId="1" xfId="0" applyNumberFormat="1" applyFont="1" applyFill="1" applyBorder="1" applyAlignment="1">
      <alignment horizontal="center"/>
    </xf>
    <xf numFmtId="0" fontId="59" fillId="15" borderId="1" xfId="0" applyFont="1" applyFill="1" applyBorder="1" applyAlignment="1" applyProtection="1">
      <alignment vertical="top" wrapText="1"/>
      <protection locked="0"/>
    </xf>
    <xf numFmtId="0" fontId="21" fillId="15" borderId="1" xfId="0" applyFont="1" applyFill="1" applyBorder="1" applyAlignment="1">
      <alignment horizontal="center"/>
    </xf>
    <xf numFmtId="0" fontId="21" fillId="20" borderId="1" xfId="0" applyFont="1" applyFill="1" applyBorder="1" applyAlignment="1">
      <alignment horizontal="center"/>
    </xf>
    <xf numFmtId="0" fontId="12" fillId="6" borderId="1" xfId="6" applyFont="1" applyFill="1" applyBorder="1" applyAlignment="1" applyProtection="1">
      <alignment horizontal="right" vertical="top"/>
      <protection locked="0"/>
    </xf>
    <xf numFmtId="0" fontId="21" fillId="6" borderId="1" xfId="0" applyFont="1" applyFill="1" applyBorder="1" applyAlignment="1">
      <alignment horizontal="left" vertical="top" wrapText="1"/>
    </xf>
    <xf numFmtId="169" fontId="3" fillId="20" borderId="1" xfId="7" applyNumberFormat="1" applyFont="1" applyFill="1" applyBorder="1" applyAlignment="1" applyProtection="1">
      <alignment horizontal="right" vertical="top" wrapText="1"/>
      <protection locked="0"/>
    </xf>
    <xf numFmtId="2" fontId="3" fillId="20" borderId="1" xfId="7" applyNumberFormat="1" applyFont="1" applyFill="1" applyBorder="1" applyAlignment="1" applyProtection="1">
      <alignment horizontal="right" vertical="top" wrapText="1"/>
      <protection locked="0"/>
    </xf>
    <xf numFmtId="0" fontId="59" fillId="20" borderId="1" xfId="0" applyFont="1" applyFill="1" applyBorder="1" applyAlignment="1" applyProtection="1">
      <alignment vertical="top" wrapText="1"/>
      <protection locked="0"/>
    </xf>
    <xf numFmtId="0" fontId="21" fillId="15" borderId="0" xfId="0" applyFont="1" applyFill="1" applyAlignment="1">
      <alignment horizontal="center"/>
    </xf>
    <xf numFmtId="0" fontId="2" fillId="6" borderId="1" xfId="6" applyFont="1" applyFill="1" applyBorder="1" applyAlignment="1" applyProtection="1">
      <alignment horizontal="right" vertical="top"/>
      <protection locked="0"/>
    </xf>
    <xf numFmtId="0" fontId="3" fillId="20" borderId="1" xfId="0" applyFont="1" applyFill="1" applyBorder="1" applyAlignment="1">
      <alignment horizontal="left" vertical="top" wrapText="1"/>
    </xf>
    <xf numFmtId="0" fontId="2" fillId="6" borderId="1" xfId="7" applyFont="1" applyFill="1" applyBorder="1" applyAlignment="1" applyProtection="1">
      <alignment horizontal="center" vertical="top" wrapText="1"/>
      <protection locked="0"/>
    </xf>
    <xf numFmtId="0" fontId="3" fillId="20" borderId="1" xfId="7" applyFont="1" applyFill="1" applyBorder="1" applyAlignment="1" applyProtection="1">
      <alignment horizontal="center" vertical="top" wrapText="1"/>
      <protection locked="0"/>
    </xf>
    <xf numFmtId="168" fontId="3" fillId="20" borderId="1" xfId="4" applyNumberFormat="1" applyFont="1" applyFill="1" applyBorder="1" applyAlignment="1" applyProtection="1">
      <alignment vertical="top" wrapText="1"/>
    </xf>
    <xf numFmtId="0" fontId="59" fillId="20" borderId="1" xfId="0" applyFont="1" applyFill="1" applyBorder="1" applyAlignment="1">
      <alignment horizontal="center"/>
    </xf>
    <xf numFmtId="168" fontId="3" fillId="0" borderId="1" xfId="4" applyNumberFormat="1" applyFont="1" applyBorder="1" applyAlignment="1" applyProtection="1">
      <alignment vertical="top" wrapText="1"/>
    </xf>
    <xf numFmtId="0" fontId="59" fillId="0" borderId="1" xfId="0" applyFont="1" applyBorder="1" applyAlignment="1">
      <alignment horizontal="center"/>
    </xf>
    <xf numFmtId="168" fontId="3" fillId="6" borderId="1" xfId="4" applyNumberFormat="1" applyFont="1" applyFill="1" applyBorder="1" applyAlignment="1" applyProtection="1">
      <alignment vertical="top" wrapText="1"/>
    </xf>
    <xf numFmtId="0" fontId="59" fillId="6" borderId="1" xfId="0" applyFont="1" applyFill="1" applyBorder="1" applyAlignment="1">
      <alignment horizontal="center"/>
    </xf>
    <xf numFmtId="0" fontId="3" fillId="31" borderId="1" xfId="7" applyFont="1" applyFill="1" applyBorder="1" applyAlignment="1" applyProtection="1">
      <alignment horizontal="right" vertical="top" wrapText="1"/>
      <protection locked="0"/>
    </xf>
    <xf numFmtId="0" fontId="4" fillId="31" borderId="1" xfId="0" applyFont="1" applyFill="1" applyBorder="1" applyAlignment="1">
      <alignment vertical="top" wrapText="1"/>
    </xf>
    <xf numFmtId="168" fontId="2" fillId="31" borderId="1" xfId="4" applyNumberFormat="1" applyFont="1" applyFill="1" applyBorder="1" applyAlignment="1" applyProtection="1">
      <alignment vertical="top" wrapText="1"/>
    </xf>
    <xf numFmtId="0" fontId="21" fillId="31" borderId="1" xfId="0" applyFont="1" applyFill="1" applyBorder="1" applyAlignment="1">
      <alignment horizontal="center"/>
    </xf>
    <xf numFmtId="168" fontId="21" fillId="31" borderId="1" xfId="0" applyNumberFormat="1" applyFont="1" applyFill="1" applyBorder="1" applyAlignment="1">
      <alignment horizontal="center"/>
    </xf>
    <xf numFmtId="0" fontId="3" fillId="0" borderId="1" xfId="7" applyFont="1" applyBorder="1" applyAlignment="1" applyProtection="1">
      <alignment horizontal="right" vertical="top" wrapText="1"/>
      <protection locked="0"/>
    </xf>
    <xf numFmtId="168" fontId="21" fillId="0" borderId="1" xfId="0" applyNumberFormat="1" applyFont="1" applyBorder="1" applyAlignment="1">
      <alignment horizontal="center"/>
    </xf>
    <xf numFmtId="0" fontId="4" fillId="10" borderId="1" xfId="6" applyFont="1" applyFill="1" applyBorder="1" applyAlignment="1" applyProtection="1">
      <alignment vertical="top" wrapText="1"/>
      <protection locked="0"/>
    </xf>
    <xf numFmtId="168" fontId="12" fillId="10" borderId="1" xfId="6" applyNumberFormat="1" applyFont="1" applyFill="1" applyBorder="1" applyAlignment="1" applyProtection="1">
      <alignment horizontal="center" vertical="top"/>
      <protection locked="0"/>
    </xf>
    <xf numFmtId="0" fontId="21" fillId="10" borderId="1" xfId="0" applyFont="1" applyFill="1" applyBorder="1" applyAlignment="1">
      <alignment horizontal="center"/>
    </xf>
    <xf numFmtId="171" fontId="21" fillId="10" borderId="1" xfId="0" applyNumberFormat="1" applyFont="1" applyFill="1" applyBorder="1" applyAlignment="1">
      <alignment horizontal="center"/>
    </xf>
    <xf numFmtId="168" fontId="21" fillId="10" borderId="1" xfId="0" applyNumberFormat="1" applyFont="1" applyFill="1" applyBorder="1" applyAlignment="1">
      <alignment horizontal="center"/>
    </xf>
    <xf numFmtId="0" fontId="12" fillId="20" borderId="1" xfId="6" applyFont="1" applyFill="1" applyBorder="1" applyAlignment="1" applyProtection="1">
      <alignment horizontal="right" vertical="top"/>
      <protection locked="0"/>
    </xf>
    <xf numFmtId="0" fontId="4" fillId="20" borderId="1" xfId="6" applyFont="1" applyFill="1" applyBorder="1" applyAlignment="1" applyProtection="1">
      <alignment vertical="top" wrapText="1"/>
      <protection locked="0"/>
    </xf>
    <xf numFmtId="0" fontId="3" fillId="20" borderId="1" xfId="6" applyFont="1" applyFill="1" applyBorder="1" applyAlignment="1" applyProtection="1">
      <alignment vertical="top" wrapText="1"/>
      <protection locked="0"/>
    </xf>
    <xf numFmtId="0" fontId="12" fillId="6" borderId="1" xfId="6" applyFont="1" applyFill="1" applyBorder="1" applyAlignment="1" applyProtection="1">
      <alignment vertical="top"/>
      <protection locked="0"/>
    </xf>
    <xf numFmtId="0" fontId="12" fillId="6" borderId="1" xfId="0" applyFont="1" applyFill="1" applyBorder="1" applyAlignment="1">
      <alignment horizontal="left" vertical="top" wrapText="1"/>
    </xf>
    <xf numFmtId="0" fontId="4" fillId="20" borderId="1" xfId="0" applyFont="1" applyFill="1" applyBorder="1" applyAlignment="1">
      <alignment horizontal="left" vertical="top" wrapText="1"/>
    </xf>
    <xf numFmtId="0" fontId="12" fillId="6" borderId="1" xfId="6" applyFont="1" applyFill="1" applyBorder="1" applyAlignment="1" applyProtection="1">
      <alignment vertical="top" wrapText="1"/>
      <protection locked="0"/>
    </xf>
    <xf numFmtId="0" fontId="4" fillId="10" borderId="1" xfId="0" applyFont="1" applyFill="1" applyBorder="1" applyAlignment="1">
      <alignment vertical="top" wrapText="1"/>
    </xf>
    <xf numFmtId="0" fontId="21" fillId="0" borderId="1" xfId="0" applyFont="1" applyBorder="1" applyAlignment="1">
      <alignment horizontal="center" vertical="center"/>
    </xf>
    <xf numFmtId="170" fontId="21" fillId="0" borderId="1" xfId="1" applyFont="1" applyBorder="1" applyAlignment="1" applyProtection="1">
      <alignment horizontal="center" vertical="center"/>
    </xf>
    <xf numFmtId="0" fontId="4" fillId="10" borderId="1" xfId="6" applyFont="1" applyFill="1" applyBorder="1" applyAlignment="1" applyProtection="1">
      <alignment vertical="top"/>
      <protection locked="0"/>
    </xf>
    <xf numFmtId="0" fontId="4" fillId="14" borderId="1" xfId="6" applyFont="1" applyFill="1" applyBorder="1" applyAlignment="1">
      <alignment vertical="top" wrapText="1"/>
    </xf>
    <xf numFmtId="170" fontId="59" fillId="14" borderId="1" xfId="1" applyFont="1" applyFill="1" applyBorder="1" applyAlignment="1" applyProtection="1">
      <alignment horizontal="center"/>
    </xf>
    <xf numFmtId="0" fontId="59" fillId="14" borderId="1" xfId="0" applyFont="1" applyFill="1" applyBorder="1" applyAlignment="1">
      <alignment horizontal="center"/>
    </xf>
    <xf numFmtId="170" fontId="0" fillId="0" borderId="0" xfId="0" applyNumberFormat="1" applyAlignment="1">
      <alignment horizontal="center"/>
    </xf>
    <xf numFmtId="174" fontId="53" fillId="10" borderId="13" xfId="9" applyNumberFormat="1" applyFont="1" applyFill="1" applyBorder="1" applyAlignment="1">
      <alignment vertical="top"/>
    </xf>
    <xf numFmtId="0" fontId="53" fillId="10" borderId="14" xfId="9" applyFont="1" applyFill="1" applyBorder="1" applyAlignment="1">
      <alignment vertical="top"/>
    </xf>
    <xf numFmtId="0" fontId="53" fillId="0" borderId="3" xfId="5" applyNumberFormat="1" applyFont="1" applyBorder="1" applyAlignment="1" applyProtection="1">
      <alignment horizontal="center" vertical="top"/>
    </xf>
    <xf numFmtId="0" fontId="53" fillId="0" borderId="0" xfId="9" applyFont="1" applyAlignment="1">
      <alignment horizontal="right" vertical="top"/>
    </xf>
    <xf numFmtId="0" fontId="53" fillId="0" borderId="0" xfId="9" applyFont="1" applyAlignment="1">
      <alignment horizontal="left" vertical="top"/>
    </xf>
    <xf numFmtId="3" fontId="43" fillId="2" borderId="3" xfId="9" applyNumberFormat="1" applyFont="1" applyFill="1" applyBorder="1" applyAlignment="1">
      <alignment horizontal="center" vertical="top"/>
    </xf>
    <xf numFmtId="3" fontId="43" fillId="8" borderId="3" xfId="9" applyNumberFormat="1" applyFont="1" applyFill="1" applyBorder="1" applyAlignment="1">
      <alignment horizontal="center" vertical="top"/>
    </xf>
    <xf numFmtId="3" fontId="43" fillId="7" borderId="3" xfId="9" applyNumberFormat="1" applyFont="1" applyFill="1" applyBorder="1" applyAlignment="1">
      <alignment horizontal="center" vertical="top"/>
    </xf>
    <xf numFmtId="0" fontId="0" fillId="15" borderId="0" xfId="0" applyFill="1"/>
    <xf numFmtId="0" fontId="21" fillId="0" borderId="1" xfId="0" applyFont="1" applyBorder="1"/>
    <xf numFmtId="3" fontId="21" fillId="6" borderId="1" xfId="0" applyNumberFormat="1" applyFont="1" applyFill="1" applyBorder="1"/>
    <xf numFmtId="0" fontId="21" fillId="6" borderId="1" xfId="0" applyFont="1" applyFill="1" applyBorder="1"/>
    <xf numFmtId="168" fontId="21" fillId="6" borderId="1" xfId="0" applyNumberFormat="1" applyFont="1" applyFill="1" applyBorder="1"/>
    <xf numFmtId="0" fontId="21" fillId="20" borderId="0" xfId="0" applyFont="1" applyFill="1"/>
    <xf numFmtId="168" fontId="2" fillId="21" borderId="1" xfId="7" applyNumberFormat="1" applyFont="1" applyFill="1" applyBorder="1" applyAlignment="1" applyProtection="1">
      <alignment horizontal="right" vertical="top"/>
      <protection locked="0"/>
    </xf>
    <xf numFmtId="171" fontId="21" fillId="21" borderId="1" xfId="1" applyNumberFormat="1" applyFont="1" applyFill="1" applyBorder="1" applyProtection="1"/>
    <xf numFmtId="0" fontId="21" fillId="21" borderId="1" xfId="0" applyFont="1" applyFill="1" applyBorder="1"/>
    <xf numFmtId="168" fontId="21" fillId="21" borderId="1" xfId="0" applyNumberFormat="1" applyFont="1" applyFill="1" applyBorder="1"/>
    <xf numFmtId="3" fontId="21" fillId="21" borderId="1" xfId="0" applyNumberFormat="1" applyFont="1" applyFill="1" applyBorder="1"/>
    <xf numFmtId="171" fontId="21" fillId="21" borderId="1" xfId="0" applyNumberFormat="1" applyFont="1" applyFill="1" applyBorder="1"/>
    <xf numFmtId="171" fontId="21" fillId="12" borderId="1" xfId="0" applyNumberFormat="1" applyFont="1" applyFill="1" applyBorder="1"/>
    <xf numFmtId="0" fontId="21" fillId="12" borderId="1" xfId="0" applyFont="1" applyFill="1" applyBorder="1"/>
    <xf numFmtId="168" fontId="21" fillId="12" borderId="1" xfId="0" applyNumberFormat="1" applyFont="1" applyFill="1" applyBorder="1"/>
    <xf numFmtId="0" fontId="21" fillId="15" borderId="1" xfId="0" applyFont="1" applyFill="1" applyBorder="1"/>
    <xf numFmtId="0" fontId="21" fillId="20" borderId="1" xfId="0" applyFont="1" applyFill="1" applyBorder="1"/>
    <xf numFmtId="0" fontId="21" fillId="15" borderId="0" xfId="0" applyFont="1" applyFill="1"/>
    <xf numFmtId="0" fontId="59" fillId="20" borderId="1" xfId="0" applyFont="1" applyFill="1" applyBorder="1"/>
    <xf numFmtId="0" fontId="59" fillId="0" borderId="1" xfId="0" applyFont="1" applyBorder="1"/>
    <xf numFmtId="0" fontId="59" fillId="6" borderId="1" xfId="0" applyFont="1" applyFill="1" applyBorder="1"/>
    <xf numFmtId="0" fontId="21" fillId="31" borderId="1" xfId="0" applyFont="1" applyFill="1" applyBorder="1"/>
    <xf numFmtId="168" fontId="21" fillId="31" borderId="1" xfId="0" applyNumberFormat="1" applyFont="1" applyFill="1" applyBorder="1"/>
    <xf numFmtId="168" fontId="21" fillId="0" borderId="1" xfId="0" applyNumberFormat="1" applyFont="1" applyBorder="1"/>
    <xf numFmtId="0" fontId="21" fillId="10" borderId="1" xfId="0" applyFont="1" applyFill="1" applyBorder="1"/>
    <xf numFmtId="171" fontId="21" fillId="10" borderId="1" xfId="0" applyNumberFormat="1" applyFont="1" applyFill="1" applyBorder="1"/>
    <xf numFmtId="168" fontId="21" fillId="10" borderId="1" xfId="0" applyNumberFormat="1" applyFont="1" applyFill="1" applyBorder="1"/>
    <xf numFmtId="170" fontId="21" fillId="0" borderId="1" xfId="1" applyFont="1" applyBorder="1" applyAlignment="1" applyProtection="1">
      <alignment horizontal="right" vertical="center"/>
    </xf>
    <xf numFmtId="1" fontId="21" fillId="0" borderId="1" xfId="0" applyNumberFormat="1" applyFont="1" applyBorder="1" applyAlignment="1">
      <alignment horizontal="center" vertical="center"/>
    </xf>
    <xf numFmtId="170" fontId="59" fillId="14" borderId="1" xfId="1" applyFont="1" applyFill="1" applyBorder="1" applyProtection="1"/>
    <xf numFmtId="0" fontId="59" fillId="14" borderId="1" xfId="0" applyFont="1" applyFill="1" applyBorder="1"/>
    <xf numFmtId="0" fontId="21" fillId="14" borderId="1" xfId="0" applyFont="1" applyFill="1" applyBorder="1"/>
    <xf numFmtId="167" fontId="43" fillId="0" borderId="18" xfId="9" applyNumberFormat="1" applyFont="1" applyBorder="1" applyAlignment="1">
      <alignment horizontal="right" vertical="top"/>
    </xf>
    <xf numFmtId="164" fontId="0" fillId="0" borderId="0" xfId="0" applyNumberFormat="1"/>
    <xf numFmtId="0" fontId="53" fillId="0" borderId="23" xfId="9" applyFont="1" applyBorder="1" applyAlignment="1">
      <alignment horizontal="center" vertical="top"/>
    </xf>
    <xf numFmtId="0" fontId="0" fillId="37" borderId="1" xfId="0" applyFill="1" applyBorder="1" applyAlignment="1">
      <alignment wrapText="1"/>
    </xf>
    <xf numFmtId="0" fontId="0" fillId="38" borderId="1" xfId="0" applyFill="1" applyBorder="1"/>
    <xf numFmtId="170" fontId="60" fillId="37" borderId="1" xfId="1" applyFill="1" applyBorder="1" applyAlignment="1" applyProtection="1">
      <alignment wrapText="1"/>
    </xf>
    <xf numFmtId="0" fontId="0" fillId="37" borderId="1" xfId="0" applyFill="1" applyBorder="1"/>
    <xf numFmtId="0" fontId="0" fillId="37" borderId="1" xfId="0" applyFill="1" applyBorder="1" applyAlignment="1">
      <alignment horizontal="center" wrapText="1"/>
    </xf>
    <xf numFmtId="171" fontId="4" fillId="14" borderId="1" xfId="1" applyNumberFormat="1" applyFont="1" applyFill="1" applyBorder="1" applyAlignment="1" applyProtection="1">
      <alignment vertical="top"/>
      <protection locked="0"/>
    </xf>
    <xf numFmtId="4" fontId="43" fillId="7" borderId="3" xfId="9" applyNumberFormat="1" applyFont="1" applyFill="1" applyBorder="1" applyAlignment="1">
      <alignment horizontal="center" vertical="top"/>
    </xf>
    <xf numFmtId="175" fontId="53" fillId="0" borderId="1" xfId="5" applyNumberFormat="1" applyFont="1" applyBorder="1" applyAlignment="1" applyProtection="1">
      <alignment horizontal="center" vertical="top"/>
    </xf>
    <xf numFmtId="0" fontId="63" fillId="0" borderId="1" xfId="0" applyFont="1" applyBorder="1" applyAlignment="1">
      <alignment horizontal="left" vertical="top" wrapText="1"/>
    </xf>
    <xf numFmtId="170" fontId="42" fillId="39" borderId="1" xfId="1" applyFont="1" applyFill="1" applyBorder="1" applyAlignment="1" applyProtection="1">
      <alignment horizontal="center" vertical="top"/>
    </xf>
    <xf numFmtId="0" fontId="0" fillId="0" borderId="0" xfId="0" applyAlignment="1">
      <alignment vertical="top"/>
    </xf>
    <xf numFmtId="170" fontId="64" fillId="40" borderId="1" xfId="1" applyFont="1" applyFill="1" applyBorder="1" applyAlignment="1" applyProtection="1">
      <alignment vertical="center"/>
    </xf>
    <xf numFmtId="164" fontId="0" fillId="0" borderId="0" xfId="0" applyNumberFormat="1" applyAlignment="1">
      <alignment vertical="top"/>
    </xf>
    <xf numFmtId="170" fontId="21" fillId="6" borderId="1" xfId="0" applyNumberFormat="1" applyFont="1" applyFill="1" applyBorder="1"/>
    <xf numFmtId="0" fontId="65" fillId="0" borderId="1" xfId="0" applyFont="1" applyBorder="1"/>
    <xf numFmtId="0" fontId="65" fillId="0" borderId="1" xfId="0" applyFont="1" applyBorder="1" applyAlignment="1">
      <alignment horizontal="center"/>
    </xf>
    <xf numFmtId="171" fontId="60" fillId="0" borderId="1" xfId="1" applyNumberFormat="1" applyBorder="1"/>
    <xf numFmtId="171" fontId="21" fillId="6" borderId="1" xfId="0" applyNumberFormat="1" applyFont="1" applyFill="1" applyBorder="1"/>
    <xf numFmtId="0" fontId="66" fillId="14" borderId="1" xfId="6" applyFont="1" applyFill="1" applyBorder="1" applyAlignment="1" applyProtection="1">
      <alignment vertical="top"/>
      <protection locked="0"/>
    </xf>
    <xf numFmtId="0" fontId="67" fillId="14" borderId="1" xfId="6" applyFont="1" applyFill="1" applyBorder="1" applyAlignment="1">
      <alignment vertical="top" wrapText="1"/>
    </xf>
    <xf numFmtId="168" fontId="67" fillId="14" borderId="1" xfId="6" applyNumberFormat="1" applyFont="1" applyFill="1" applyBorder="1" applyAlignment="1" applyProtection="1">
      <alignment vertical="top"/>
      <protection locked="0"/>
    </xf>
    <xf numFmtId="170" fontId="68" fillId="14" borderId="1" xfId="1" applyFont="1" applyFill="1" applyBorder="1" applyProtection="1"/>
    <xf numFmtId="0" fontId="68" fillId="14" borderId="1" xfId="0" applyFont="1" applyFill="1" applyBorder="1"/>
    <xf numFmtId="0" fontId="68" fillId="14" borderId="1" xfId="0" applyFont="1" applyFill="1" applyBorder="1" applyAlignment="1">
      <alignment horizontal="center"/>
    </xf>
    <xf numFmtId="0" fontId="60" fillId="0" borderId="0" xfId="0" applyFont="1"/>
    <xf numFmtId="9" fontId="60" fillId="41" borderId="1" xfId="2" applyFill="1" applyBorder="1" applyProtection="1"/>
    <xf numFmtId="0" fontId="3" fillId="0" borderId="0" xfId="6" applyFont="1" applyAlignment="1" applyProtection="1">
      <alignment horizontal="center" vertical="top" wrapText="1"/>
      <protection locked="0"/>
    </xf>
    <xf numFmtId="0" fontId="4" fillId="0" borderId="0" xfId="6" applyFont="1" applyAlignment="1" applyProtection="1">
      <alignment horizontal="left" vertical="top" wrapText="1"/>
      <protection locked="0"/>
    </xf>
    <xf numFmtId="0" fontId="4" fillId="0" borderId="0" xfId="6" applyFont="1" applyAlignment="1" applyProtection="1">
      <alignment vertical="top"/>
      <protection locked="0"/>
    </xf>
    <xf numFmtId="0" fontId="6" fillId="3" borderId="1" xfId="6" applyFont="1" applyFill="1" applyBorder="1" applyAlignment="1">
      <alignment horizontal="center" vertical="top" wrapText="1"/>
    </xf>
    <xf numFmtId="0" fontId="7" fillId="3" borderId="1" xfId="6" applyFont="1" applyFill="1" applyBorder="1" applyAlignment="1">
      <alignment horizontal="center" vertical="top" wrapText="1"/>
    </xf>
    <xf numFmtId="0" fontId="8" fillId="3" borderId="1" xfId="0" applyFont="1" applyFill="1" applyBorder="1" applyAlignment="1">
      <alignment horizontal="center" vertical="top" wrapText="1"/>
    </xf>
    <xf numFmtId="167" fontId="9" fillId="4" borderId="1" xfId="6" applyNumberFormat="1" applyFont="1" applyFill="1" applyBorder="1" applyAlignment="1">
      <alignment horizontal="center" vertical="top"/>
    </xf>
    <xf numFmtId="167" fontId="9" fillId="5" borderId="1" xfId="6" applyNumberFormat="1" applyFont="1" applyFill="1" applyBorder="1" applyAlignment="1">
      <alignment horizontal="center" vertical="top"/>
    </xf>
    <xf numFmtId="167" fontId="9" fillId="6" borderId="1" xfId="6" applyNumberFormat="1" applyFont="1" applyFill="1" applyBorder="1" applyAlignment="1">
      <alignment horizontal="center" vertical="top"/>
    </xf>
    <xf numFmtId="167" fontId="9" fillId="7" borderId="1" xfId="6" applyNumberFormat="1" applyFont="1" applyFill="1" applyBorder="1" applyAlignment="1">
      <alignment horizontal="center" vertical="top"/>
    </xf>
    <xf numFmtId="167" fontId="9" fillId="8" borderId="1" xfId="6" applyNumberFormat="1" applyFont="1" applyFill="1" applyBorder="1" applyAlignment="1">
      <alignment horizontal="center" vertical="top"/>
    </xf>
    <xf numFmtId="9" fontId="10" fillId="9" borderId="1" xfId="2" applyFont="1" applyFill="1" applyBorder="1" applyAlignment="1" applyProtection="1">
      <alignment horizontal="center" vertical="top" wrapText="1"/>
      <protection locked="0"/>
    </xf>
    <xf numFmtId="0" fontId="2" fillId="10" borderId="1" xfId="6" applyFont="1" applyFill="1" applyBorder="1" applyAlignment="1" applyProtection="1">
      <alignment horizontal="center" vertical="center"/>
      <protection locked="0"/>
    </xf>
    <xf numFmtId="0" fontId="2" fillId="11" borderId="1" xfId="6" applyFont="1" applyFill="1" applyBorder="1" applyAlignment="1" applyProtection="1">
      <alignment horizontal="center" vertical="top"/>
      <protection locked="0"/>
    </xf>
    <xf numFmtId="0" fontId="3" fillId="0" borderId="0" xfId="6" applyFont="1" applyAlignment="1" applyProtection="1">
      <alignment horizontal="left" vertical="top"/>
      <protection locked="0"/>
    </xf>
    <xf numFmtId="0" fontId="2" fillId="0" borderId="1" xfId="6" applyFont="1" applyBorder="1" applyAlignment="1" applyProtection="1">
      <alignment horizontal="center" vertical="center" wrapText="1"/>
      <protection locked="0"/>
    </xf>
    <xf numFmtId="0" fontId="12" fillId="12" borderId="3" xfId="6" applyFont="1" applyFill="1" applyBorder="1" applyAlignment="1" applyProtection="1">
      <alignment horizontal="center" vertical="top" wrapText="1"/>
      <protection locked="0"/>
    </xf>
    <xf numFmtId="0" fontId="38" fillId="12" borderId="1" xfId="0" applyFont="1" applyFill="1" applyBorder="1" applyAlignment="1">
      <alignment horizontal="left" vertical="top" wrapText="1"/>
    </xf>
    <xf numFmtId="0" fontId="39" fillId="30" borderId="1" xfId="6" applyFont="1" applyFill="1" applyBorder="1" applyAlignment="1">
      <alignment horizontal="left" vertical="top"/>
    </xf>
    <xf numFmtId="0" fontId="39" fillId="30" borderId="3" xfId="6" applyFont="1" applyFill="1" applyBorder="1" applyAlignment="1">
      <alignment horizontal="left" vertical="top"/>
    </xf>
    <xf numFmtId="0" fontId="40" fillId="24" borderId="1" xfId="0" applyFont="1" applyFill="1" applyBorder="1" applyAlignment="1">
      <alignment horizontal="left" vertical="top"/>
    </xf>
    <xf numFmtId="0" fontId="41" fillId="24" borderId="1" xfId="3" applyFill="1" applyBorder="1" applyAlignment="1" applyProtection="1">
      <alignment horizontal="left" vertical="top"/>
    </xf>
    <xf numFmtId="0" fontId="42" fillId="14" borderId="2" xfId="8" applyFont="1" applyFill="1" applyBorder="1" applyAlignment="1">
      <alignment horizontal="left" vertical="top" wrapText="1"/>
    </xf>
    <xf numFmtId="0" fontId="42" fillId="29" borderId="1" xfId="8" applyFont="1" applyFill="1" applyBorder="1" applyAlignment="1">
      <alignment horizontal="center" vertical="top" wrapText="1"/>
    </xf>
    <xf numFmtId="0" fontId="42" fillId="27" borderId="2" xfId="8" applyFont="1" applyFill="1" applyBorder="1" applyAlignment="1">
      <alignment horizontal="left" vertical="top" wrapText="1"/>
    </xf>
    <xf numFmtId="0" fontId="0" fillId="31" borderId="2" xfId="0" applyFill="1" applyBorder="1" applyAlignment="1">
      <alignment horizontal="center" vertical="top"/>
    </xf>
    <xf numFmtId="0" fontId="1" fillId="0" borderId="2" xfId="8" applyBorder="1" applyAlignment="1">
      <alignment horizontal="center" vertical="top"/>
    </xf>
    <xf numFmtId="0" fontId="42" fillId="14" borderId="2" xfId="8" applyFont="1" applyFill="1" applyBorder="1" applyAlignment="1">
      <alignment horizontal="left" vertical="top"/>
    </xf>
    <xf numFmtId="0" fontId="42" fillId="33" borderId="2" xfId="8" applyFont="1" applyFill="1" applyBorder="1" applyAlignment="1">
      <alignment horizontal="left" vertical="top" wrapText="1"/>
    </xf>
    <xf numFmtId="0" fontId="38" fillId="12" borderId="1" xfId="0" applyFont="1" applyFill="1" applyBorder="1" applyAlignment="1">
      <alignment horizontal="center" vertical="top" wrapText="1"/>
    </xf>
    <xf numFmtId="0" fontId="43" fillId="12" borderId="1" xfId="6" applyFont="1" applyFill="1" applyBorder="1" applyAlignment="1">
      <alignment horizontal="center" vertical="top"/>
    </xf>
    <xf numFmtId="0" fontId="44" fillId="24" borderId="4" xfId="6" applyFont="1" applyFill="1" applyBorder="1" applyAlignment="1">
      <alignment horizontal="center" vertical="top" wrapText="1"/>
    </xf>
    <xf numFmtId="171" fontId="45" fillId="24" borderId="4" xfId="1" applyNumberFormat="1" applyFont="1" applyFill="1" applyBorder="1" applyAlignment="1" applyProtection="1">
      <alignment horizontal="center" vertical="top" wrapText="1"/>
    </xf>
    <xf numFmtId="0" fontId="45" fillId="24" borderId="4" xfId="6" applyFont="1" applyFill="1" applyBorder="1" applyAlignment="1">
      <alignment horizontal="center" vertical="top" wrapText="1"/>
    </xf>
    <xf numFmtId="173" fontId="45" fillId="24" borderId="4" xfId="10" applyNumberFormat="1" applyFont="1" applyFill="1" applyBorder="1" applyAlignment="1" applyProtection="1">
      <alignment horizontal="center" vertical="top" wrapText="1"/>
    </xf>
    <xf numFmtId="0" fontId="46" fillId="24" borderId="4" xfId="6" applyFont="1" applyFill="1" applyBorder="1" applyAlignment="1">
      <alignment horizontal="center" vertical="top" wrapText="1"/>
    </xf>
    <xf numFmtId="0" fontId="43" fillId="0" borderId="18" xfId="5" applyNumberFormat="1" applyFont="1" applyBorder="1" applyAlignment="1" applyProtection="1">
      <alignment horizontal="right" vertical="top"/>
    </xf>
    <xf numFmtId="0" fontId="56" fillId="0" borderId="22" xfId="9" applyFont="1" applyBorder="1" applyAlignment="1">
      <alignment horizontal="center" vertical="top" wrapText="1"/>
    </xf>
    <xf numFmtId="0" fontId="53" fillId="7" borderId="18" xfId="9" applyFont="1" applyFill="1" applyBorder="1" applyAlignment="1">
      <alignment horizontal="right" vertical="top"/>
    </xf>
    <xf numFmtId="0" fontId="53" fillId="0" borderId="15" xfId="9" applyFont="1" applyBorder="1" applyAlignment="1">
      <alignment horizontal="right" vertical="top"/>
    </xf>
    <xf numFmtId="0" fontId="53" fillId="14" borderId="14" xfId="9" applyFont="1" applyFill="1" applyBorder="1" applyAlignment="1">
      <alignment horizontal="center" vertical="top"/>
    </xf>
    <xf numFmtId="170" fontId="53" fillId="14" borderId="10" xfId="1" applyFont="1" applyFill="1" applyBorder="1" applyAlignment="1" applyProtection="1">
      <alignment horizontal="center" vertical="top" wrapText="1"/>
    </xf>
    <xf numFmtId="0" fontId="53" fillId="0" borderId="18" xfId="9" applyFont="1" applyBorder="1" applyAlignment="1">
      <alignment horizontal="right" vertical="top"/>
    </xf>
    <xf numFmtId="0" fontId="53" fillId="10" borderId="12" xfId="9" applyFont="1" applyFill="1" applyBorder="1" applyAlignment="1">
      <alignment horizontal="left" vertical="top"/>
    </xf>
    <xf numFmtId="0" fontId="55" fillId="0" borderId="10" xfId="0" applyFont="1" applyBorder="1" applyAlignment="1">
      <alignment horizontal="center" vertical="top"/>
    </xf>
    <xf numFmtId="167" fontId="43" fillId="0" borderId="18" xfId="9" applyNumberFormat="1" applyFont="1" applyBorder="1" applyAlignment="1">
      <alignment horizontal="right" vertical="top"/>
    </xf>
    <xf numFmtId="0" fontId="53" fillId="0" borderId="9" xfId="9" applyFont="1" applyBorder="1" applyAlignment="1">
      <alignment horizontal="center" vertical="top"/>
    </xf>
    <xf numFmtId="0" fontId="53" fillId="14" borderId="10" xfId="9" applyFont="1" applyFill="1" applyBorder="1" applyAlignment="1">
      <alignment horizontal="center" vertical="top"/>
    </xf>
    <xf numFmtId="0" fontId="38" fillId="12" borderId="11" xfId="0" applyFont="1" applyFill="1" applyBorder="1" applyAlignment="1">
      <alignment horizontal="center" vertical="top" wrapText="1"/>
    </xf>
    <xf numFmtId="0" fontId="0" fillId="0" borderId="10" xfId="0" applyBorder="1" applyAlignment="1">
      <alignment horizontal="center" wrapText="1"/>
    </xf>
    <xf numFmtId="0" fontId="54" fillId="10" borderId="10" xfId="9" applyFont="1" applyFill="1" applyBorder="1" applyAlignment="1">
      <alignment horizontal="center" vertical="top" wrapText="1"/>
    </xf>
    <xf numFmtId="0" fontId="53" fillId="10" borderId="12" xfId="9" applyFont="1" applyFill="1" applyBorder="1" applyAlignment="1">
      <alignment vertical="top"/>
    </xf>
    <xf numFmtId="171" fontId="53" fillId="14" borderId="10" xfId="1" applyNumberFormat="1" applyFont="1" applyFill="1" applyBorder="1" applyAlignment="1" applyProtection="1">
      <alignment horizontal="left" vertical="top" wrapText="1"/>
    </xf>
    <xf numFmtId="0" fontId="54" fillId="10" borderId="24" xfId="9" applyFont="1" applyFill="1" applyBorder="1" applyAlignment="1">
      <alignment horizontal="center" vertical="top" wrapText="1"/>
    </xf>
  </cellXfs>
  <cellStyles count="11">
    <cellStyle name="Comma" xfId="1" builtinId="3"/>
    <cellStyle name="Comma 2" xfId="4" xr:uid="{00000000-0005-0000-0000-000001000000}"/>
    <cellStyle name="Currency 2" xfId="5" xr:uid="{00000000-0005-0000-0000-000002000000}"/>
    <cellStyle name="Hyperlink" xfId="3" builtinId="8"/>
    <cellStyle name="Normal" xfId="0" builtinId="0"/>
    <cellStyle name="Normal 2" xfId="6" xr:uid="{00000000-0005-0000-0000-000005000000}"/>
    <cellStyle name="Normal 2 2" xfId="7" xr:uid="{00000000-0005-0000-0000-000006000000}"/>
    <cellStyle name="Normal 3" xfId="8" xr:uid="{00000000-0005-0000-0000-000007000000}"/>
    <cellStyle name="Normal 4" xfId="9" xr:uid="{00000000-0005-0000-0000-000008000000}"/>
    <cellStyle name="Percent" xfId="2" builtinId="5"/>
    <cellStyle name="Percent 2" xfId="10" xr:uid="{00000000-0005-0000-0000-00000A000000}"/>
  </cellStyles>
  <dxfs count="0"/>
  <tableStyles count="0" defaultTableStyle="TableStyleMedium2" defaultPivotStyle="PivotStyleLight16"/>
  <colors>
    <indexedColors>
      <rgbColor rgb="FF000000"/>
      <rgbColor rgb="FFFFFFFF"/>
      <rgbColor rgb="FFFF0000"/>
      <rgbColor rgb="FFFBE5D6"/>
      <rgbColor rgb="FF0000FF"/>
      <rgbColor rgb="FFFFFF00"/>
      <rgbColor rgb="FFFF33CC"/>
      <rgbColor rgb="FF66FFFF"/>
      <rgbColor rgb="FF800000"/>
      <rgbColor rgb="FF008000"/>
      <rgbColor rgb="FF000080"/>
      <rgbColor rgb="FFB4C7E7"/>
      <rgbColor rgb="FF800080"/>
      <rgbColor rgb="FF008080"/>
      <rgbColor rgb="FFADB9CA"/>
      <rgbColor rgb="FF5B9BD5"/>
      <rgbColor rgb="FF8EA9DB"/>
      <rgbColor rgb="FF7030A0"/>
      <rgbColor rgb="FFFFF2CC"/>
      <rgbColor rgb="FFDEEBF7"/>
      <rgbColor rgb="FF660066"/>
      <rgbColor rgb="FFF46CDA"/>
      <rgbColor rgb="FF0563C1"/>
      <rgbColor rgb="FFBDD7EE"/>
      <rgbColor rgb="FF000080"/>
      <rgbColor rgb="FFCC66FF"/>
      <rgbColor rgb="FFFFD966"/>
      <rgbColor rgb="FF66FF99"/>
      <rgbColor rgb="FF800080"/>
      <rgbColor rgb="FF800000"/>
      <rgbColor rgb="FF008080"/>
      <rgbColor rgb="FF0000FF"/>
      <rgbColor rgb="FF00B0F0"/>
      <rgbColor rgb="FFC5E0B4"/>
      <rgbColor rgb="FFE2F0D9"/>
      <rgbColor rgb="FFFFE699"/>
      <rgbColor rgb="FF9DC3E6"/>
      <rgbColor rgb="FFF4B084"/>
      <rgbColor rgb="FFDB6FD1"/>
      <rgbColor rgb="FFF8CBAD"/>
      <rgbColor rgb="FF4472C4"/>
      <rgbColor rgb="FF47D9D9"/>
      <rgbColor rgb="FF92D050"/>
      <rgbColor rgb="FFFFC000"/>
      <rgbColor rgb="FFF4B183"/>
      <rgbColor rgb="FFED7D31"/>
      <rgbColor rgb="FF934BC9"/>
      <rgbColor rgb="FF8FAADC"/>
      <rgbColor rgb="FF003366"/>
      <rgbColor rgb="FFA9D18E"/>
      <rgbColor rgb="FF0D0D0D"/>
      <rgbColor rgb="FF333300"/>
      <rgbColor rgb="FF993300"/>
      <rgbColor rgb="FF8F45C7"/>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315</xdr:row>
      <xdr:rowOff>0</xdr:rowOff>
    </xdr:from>
    <xdr:to>
      <xdr:col>0</xdr:col>
      <xdr:colOff>114120</xdr:colOff>
      <xdr:row>315</xdr:row>
      <xdr:rowOff>120240</xdr:rowOff>
    </xdr:to>
    <xdr:pic>
      <xdr:nvPicPr>
        <xdr:cNvPr id="2" name="Picture 253" descr="*">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82515240"/>
          <a:ext cx="114120" cy="120240"/>
        </a:xfrm>
        <a:prstGeom prst="rect">
          <a:avLst/>
        </a:prstGeom>
        <a:ln w="0">
          <a:noFill/>
        </a:ln>
      </xdr:spPr>
    </xdr:pic>
    <xdr:clientData/>
  </xdr:twoCellAnchor>
  <xdr:twoCellAnchor editAs="oneCell">
    <xdr:from>
      <xdr:col>0</xdr:col>
      <xdr:colOff>0</xdr:colOff>
      <xdr:row>316</xdr:row>
      <xdr:rowOff>0</xdr:rowOff>
    </xdr:from>
    <xdr:to>
      <xdr:col>0</xdr:col>
      <xdr:colOff>114120</xdr:colOff>
      <xdr:row>316</xdr:row>
      <xdr:rowOff>95040</xdr:rowOff>
    </xdr:to>
    <xdr:pic>
      <xdr:nvPicPr>
        <xdr:cNvPr id="3" name="Picture 254" descr="*">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0" y="82676880"/>
          <a:ext cx="114120" cy="950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325"/>
  <sheetViews>
    <sheetView zoomScale="85" zoomScaleNormal="85" workbookViewId="0">
      <pane xSplit="2" ySplit="6" topLeftCell="C31" activePane="bottomRight" state="frozen"/>
      <selection pane="topRight" activeCell="C1" sqref="C1"/>
      <selection pane="bottomLeft" activeCell="A137" sqref="A137"/>
      <selection pane="bottomRight" activeCell="AC11" sqref="AC11"/>
    </sheetView>
  </sheetViews>
  <sheetFormatPr defaultColWidth="62.85546875" defaultRowHeight="12.75" x14ac:dyDescent="0.25"/>
  <cols>
    <col min="1" max="1" width="7.42578125" style="1" customWidth="1"/>
    <col min="2" max="2" width="41.5703125" style="2" customWidth="1"/>
    <col min="3" max="3" width="14" style="2" customWidth="1"/>
    <col min="4" max="4" width="9" style="1" hidden="1" customWidth="1"/>
    <col min="5" max="5" width="6.42578125" style="1" hidden="1" customWidth="1"/>
    <col min="6" max="6" width="10.140625" style="1" hidden="1" customWidth="1"/>
    <col min="7" max="7" width="10" style="1" hidden="1" customWidth="1"/>
    <col min="8" max="8" width="10.28515625" style="1" hidden="1" customWidth="1"/>
    <col min="9" max="9" width="6.5703125" style="1" hidden="1" customWidth="1"/>
    <col min="10" max="10" width="9.5703125" style="1" hidden="1" customWidth="1"/>
    <col min="11" max="11" width="11.42578125" style="1" hidden="1" customWidth="1"/>
    <col min="12" max="12" width="10" style="1" hidden="1" customWidth="1"/>
    <col min="13" max="13" width="10.42578125" style="1" hidden="1" customWidth="1"/>
    <col min="14" max="14" width="1.5703125" style="3" hidden="1" customWidth="1"/>
    <col min="15" max="19" width="11.7109375" style="1" hidden="1" customWidth="1"/>
    <col min="20" max="20" width="1.140625" style="3" customWidth="1"/>
    <col min="21" max="21" width="6.42578125" style="1" customWidth="1"/>
    <col min="22" max="22" width="5.85546875" style="1" customWidth="1"/>
    <col min="23" max="23" width="10.5703125" style="1" customWidth="1"/>
    <col min="24" max="24" width="4.28515625" style="1" customWidth="1"/>
    <col min="25" max="25" width="3.85546875" style="1" customWidth="1"/>
    <col min="26" max="26" width="2" style="3" customWidth="1"/>
    <col min="27" max="27" width="8.85546875" style="1" customWidth="1"/>
    <col min="28" max="28" width="8.7109375" style="1" customWidth="1"/>
    <col min="29" max="29" width="11.140625" style="1" customWidth="1"/>
    <col min="30" max="30" width="10.42578125" style="1" customWidth="1"/>
    <col min="31" max="31" width="11" style="1" customWidth="1"/>
    <col min="32" max="32" width="9.140625" style="1" hidden="1" customWidth="1"/>
    <col min="33" max="33" width="6.28515625" style="1" hidden="1" customWidth="1"/>
    <col min="34" max="34" width="10.42578125" style="1" hidden="1" customWidth="1"/>
    <col min="35" max="35" width="8.28515625" style="1" hidden="1" customWidth="1"/>
    <col min="36" max="36" width="11.28515625" style="1" hidden="1" customWidth="1"/>
    <col min="37" max="37" width="7.7109375" style="1" hidden="1" customWidth="1"/>
    <col min="38" max="38" width="10" style="1" hidden="1" customWidth="1"/>
    <col min="39" max="39" width="10.42578125" style="1" hidden="1" customWidth="1"/>
    <col min="40" max="40" width="10.140625" style="1" hidden="1" customWidth="1"/>
    <col min="41" max="41" width="3" style="4" hidden="1" customWidth="1"/>
    <col min="42" max="42" width="20.42578125" style="1" customWidth="1"/>
    <col min="43" max="43" width="1.140625" style="1" customWidth="1"/>
    <col min="44" max="44" width="10.85546875" style="1" customWidth="1"/>
    <col min="45" max="45" width="9.7109375" style="1" customWidth="1"/>
    <col min="46" max="46" width="9.42578125" style="1" customWidth="1"/>
    <col min="47" max="47" width="10.5703125" style="1" customWidth="1"/>
    <col min="48" max="48" width="10.42578125" style="1" customWidth="1"/>
    <col min="49" max="270" width="8.85546875" style="1" customWidth="1"/>
    <col min="271" max="271" width="8" style="1" customWidth="1"/>
    <col min="272" max="16384" width="62.85546875" style="1"/>
  </cols>
  <sheetData>
    <row r="1" spans="1:90" ht="25.5" customHeight="1" x14ac:dyDescent="0.25">
      <c r="A1" s="581" t="s">
        <v>0</v>
      </c>
      <c r="B1" s="581"/>
      <c r="C1" s="581"/>
      <c r="D1" s="5"/>
      <c r="E1" s="5"/>
      <c r="F1" s="5"/>
      <c r="G1" s="5"/>
      <c r="H1" s="5"/>
      <c r="I1" s="5"/>
      <c r="J1" s="5"/>
      <c r="K1" s="5"/>
      <c r="L1" s="5"/>
      <c r="M1" s="5"/>
      <c r="N1" s="5"/>
      <c r="O1" s="5"/>
      <c r="P1" s="5"/>
      <c r="Q1" s="5"/>
      <c r="R1" s="5"/>
      <c r="S1" s="5"/>
      <c r="T1" s="5"/>
      <c r="U1" s="5"/>
      <c r="V1" s="5"/>
      <c r="W1" s="5"/>
      <c r="X1" s="5"/>
      <c r="Y1" s="5"/>
      <c r="Z1" s="6"/>
      <c r="AA1" s="5"/>
      <c r="AB1" s="5"/>
      <c r="AC1" s="5"/>
      <c r="AD1" s="5"/>
      <c r="AE1" s="5"/>
      <c r="AF1" s="5"/>
      <c r="AG1" s="5"/>
      <c r="AH1" s="5"/>
      <c r="AI1" s="5"/>
      <c r="AJ1" s="5"/>
      <c r="AK1" s="5"/>
      <c r="AL1" s="5"/>
      <c r="AM1" s="5"/>
      <c r="AN1" s="5"/>
      <c r="AO1" s="5"/>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row>
    <row r="2" spans="1:90" ht="30" customHeight="1" x14ac:dyDescent="0.25">
      <c r="A2" s="582" t="s">
        <v>1</v>
      </c>
      <c r="B2" s="582"/>
      <c r="C2" s="582"/>
      <c r="D2" s="7"/>
      <c r="E2" s="7"/>
      <c r="F2" s="7"/>
      <c r="G2" s="7"/>
      <c r="H2" s="7"/>
      <c r="I2" s="7"/>
      <c r="J2" s="7"/>
      <c r="K2" s="7"/>
      <c r="L2" s="7"/>
      <c r="M2" s="7"/>
      <c r="N2" s="7"/>
      <c r="O2" s="7"/>
      <c r="P2" s="7"/>
      <c r="Q2" s="7"/>
      <c r="R2" s="7"/>
      <c r="S2" s="7"/>
      <c r="T2" s="7"/>
      <c r="U2" s="7"/>
      <c r="V2" s="7"/>
      <c r="W2" s="7"/>
      <c r="X2" s="7"/>
      <c r="Y2" s="7"/>
      <c r="Z2" s="8"/>
      <c r="AA2" s="7"/>
      <c r="AB2" s="7"/>
      <c r="AC2" s="7"/>
      <c r="AD2" s="7"/>
      <c r="AE2" s="7"/>
      <c r="AF2" s="7"/>
      <c r="AG2" s="7"/>
      <c r="AH2" s="7"/>
      <c r="AI2" s="7"/>
      <c r="AJ2" s="7"/>
      <c r="AK2" s="7"/>
      <c r="AL2" s="7"/>
      <c r="AM2" s="7"/>
      <c r="AN2" s="7"/>
      <c r="AO2" s="7"/>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row>
    <row r="3" spans="1:90" x14ac:dyDescent="0.25">
      <c r="A3" s="583" t="s">
        <v>2</v>
      </c>
      <c r="B3" s="583"/>
      <c r="C3" s="9"/>
      <c r="D3" s="7"/>
      <c r="E3" s="7"/>
      <c r="F3" s="7"/>
      <c r="G3" s="7"/>
      <c r="H3" s="10"/>
      <c r="I3" s="10"/>
      <c r="J3" s="10"/>
      <c r="K3" s="10"/>
      <c r="L3" s="10"/>
      <c r="M3" s="10"/>
      <c r="N3" s="11"/>
      <c r="O3" s="10"/>
      <c r="P3" s="10"/>
      <c r="Q3" s="10"/>
      <c r="R3" s="10"/>
      <c r="S3" s="10"/>
      <c r="T3" s="11"/>
      <c r="U3" s="10"/>
      <c r="V3" s="7"/>
      <c r="W3" s="7"/>
      <c r="X3" s="12"/>
      <c r="Y3" s="10" t="s">
        <v>3</v>
      </c>
      <c r="Z3" s="11"/>
      <c r="AA3" s="10"/>
      <c r="AB3" s="10"/>
      <c r="AC3" s="10"/>
      <c r="AD3" s="10"/>
      <c r="AE3" s="10"/>
      <c r="AF3" s="10"/>
      <c r="AG3" s="7"/>
      <c r="AH3" s="7"/>
      <c r="AI3" s="7"/>
      <c r="AJ3" s="10" t="s">
        <v>3</v>
      </c>
      <c r="AK3" s="7"/>
      <c r="AL3" s="7"/>
      <c r="AM3" s="7"/>
      <c r="AN3" s="10" t="s">
        <v>3</v>
      </c>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row>
    <row r="4" spans="1:90" x14ac:dyDescent="0.25">
      <c r="A4" s="583" t="s">
        <v>4</v>
      </c>
      <c r="B4" s="583"/>
      <c r="C4" s="9"/>
      <c r="D4" s="7" t="s">
        <v>5</v>
      </c>
      <c r="E4" s="7"/>
      <c r="F4" s="5"/>
      <c r="G4" s="5"/>
      <c r="H4" s="5"/>
      <c r="I4" s="7"/>
      <c r="J4" s="7"/>
      <c r="K4" s="7"/>
      <c r="L4" s="7"/>
      <c r="M4" s="7"/>
      <c r="N4" s="7"/>
      <c r="O4" s="7"/>
      <c r="P4" s="7"/>
      <c r="Q4" s="7"/>
      <c r="R4" s="7"/>
      <c r="S4" s="7"/>
      <c r="T4" s="7"/>
      <c r="U4" s="7"/>
      <c r="V4" s="7"/>
      <c r="W4" s="7"/>
      <c r="X4" s="7"/>
      <c r="Y4" s="10"/>
      <c r="Z4" s="11"/>
      <c r="AA4" s="10"/>
      <c r="AB4" s="10"/>
      <c r="AC4" s="10"/>
      <c r="AD4" s="10"/>
      <c r="AE4" s="10"/>
      <c r="AF4" s="10"/>
      <c r="AG4" s="7"/>
      <c r="AH4" s="7"/>
      <c r="AI4" s="7"/>
      <c r="AJ4" s="10"/>
      <c r="AK4" s="7"/>
      <c r="AL4" s="7"/>
      <c r="AM4" s="7"/>
      <c r="AN4" s="10"/>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row>
    <row r="5" spans="1:90" ht="15.75" customHeight="1" x14ac:dyDescent="0.25">
      <c r="A5" s="584" t="s">
        <v>6</v>
      </c>
      <c r="B5" s="585" t="s">
        <v>7</v>
      </c>
      <c r="C5" s="586" t="s">
        <v>8</v>
      </c>
      <c r="D5" s="587" t="s">
        <v>9</v>
      </c>
      <c r="E5" s="587"/>
      <c r="F5" s="587"/>
      <c r="G5" s="587"/>
      <c r="H5" s="587"/>
      <c r="I5" s="588" t="s">
        <v>10</v>
      </c>
      <c r="J5" s="588"/>
      <c r="K5" s="588"/>
      <c r="L5" s="588"/>
      <c r="M5" s="588"/>
      <c r="N5" s="13"/>
      <c r="O5" s="588" t="s">
        <v>11</v>
      </c>
      <c r="P5" s="588"/>
      <c r="Q5" s="588"/>
      <c r="R5" s="588"/>
      <c r="S5" s="14"/>
      <c r="T5" s="15"/>
      <c r="U5" s="589" t="s">
        <v>12</v>
      </c>
      <c r="V5" s="589"/>
      <c r="W5" s="589"/>
      <c r="X5" s="589"/>
      <c r="Y5" s="589"/>
      <c r="Z5" s="16"/>
      <c r="AA5" s="588" t="s">
        <v>13</v>
      </c>
      <c r="AB5" s="588"/>
      <c r="AC5" s="588"/>
      <c r="AD5" s="588"/>
      <c r="AE5" s="588"/>
      <c r="AF5" s="590" t="s">
        <v>14</v>
      </c>
      <c r="AG5" s="590"/>
      <c r="AH5" s="590"/>
      <c r="AI5" s="590"/>
      <c r="AJ5" s="590"/>
      <c r="AK5" s="591" t="s">
        <v>15</v>
      </c>
      <c r="AL5" s="591"/>
      <c r="AM5" s="591"/>
      <c r="AN5" s="591"/>
      <c r="AO5" s="592" t="s">
        <v>16</v>
      </c>
      <c r="AP5" s="593" t="s">
        <v>17</v>
      </c>
      <c r="AQ5" s="4"/>
      <c r="AR5" s="594" t="s">
        <v>18</v>
      </c>
      <c r="AS5" s="594"/>
      <c r="AT5" s="594"/>
      <c r="AU5" s="594"/>
      <c r="AV5" s="59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90" ht="112.5" x14ac:dyDescent="0.25">
      <c r="A6" s="584"/>
      <c r="B6" s="585"/>
      <c r="C6" s="586"/>
      <c r="D6" s="17" t="s">
        <v>19</v>
      </c>
      <c r="E6" s="18" t="s">
        <v>20</v>
      </c>
      <c r="F6" s="18" t="s">
        <v>21</v>
      </c>
      <c r="G6" s="18" t="s">
        <v>22</v>
      </c>
      <c r="H6" s="19" t="s">
        <v>23</v>
      </c>
      <c r="I6" s="20" t="s">
        <v>24</v>
      </c>
      <c r="J6" s="20" t="s">
        <v>25</v>
      </c>
      <c r="K6" s="21" t="s">
        <v>26</v>
      </c>
      <c r="L6" s="22" t="s">
        <v>27</v>
      </c>
      <c r="M6" s="23" t="s">
        <v>28</v>
      </c>
      <c r="O6" s="24" t="s">
        <v>29</v>
      </c>
      <c r="P6" s="25" t="s">
        <v>30</v>
      </c>
      <c r="Q6" s="26" t="s">
        <v>31</v>
      </c>
      <c r="R6" s="27" t="s">
        <v>32</v>
      </c>
      <c r="S6" s="28" t="s">
        <v>33</v>
      </c>
      <c r="T6" s="29"/>
      <c r="U6" s="30" t="s">
        <v>19</v>
      </c>
      <c r="V6" s="31" t="s">
        <v>34</v>
      </c>
      <c r="W6" s="31" t="s">
        <v>35</v>
      </c>
      <c r="X6" s="31" t="s">
        <v>36</v>
      </c>
      <c r="Y6" s="32" t="s">
        <v>37</v>
      </c>
      <c r="Z6" s="33"/>
      <c r="AA6" s="20" t="s">
        <v>38</v>
      </c>
      <c r="AB6" s="20" t="s">
        <v>39</v>
      </c>
      <c r="AC6" s="21" t="s">
        <v>40</v>
      </c>
      <c r="AD6" s="22" t="s">
        <v>41</v>
      </c>
      <c r="AE6" s="23" t="s">
        <v>42</v>
      </c>
      <c r="AF6" s="34" t="s">
        <v>19</v>
      </c>
      <c r="AG6" s="35" t="s">
        <v>43</v>
      </c>
      <c r="AH6" s="35" t="s">
        <v>44</v>
      </c>
      <c r="AI6" s="35" t="s">
        <v>45</v>
      </c>
      <c r="AJ6" s="36" t="s">
        <v>46</v>
      </c>
      <c r="AK6" s="37" t="s">
        <v>47</v>
      </c>
      <c r="AL6" s="37" t="s">
        <v>48</v>
      </c>
      <c r="AM6" s="37" t="s">
        <v>49</v>
      </c>
      <c r="AN6" s="38" t="s">
        <v>50</v>
      </c>
      <c r="AO6" s="592"/>
      <c r="AP6" s="593"/>
      <c r="AQ6" s="4"/>
      <c r="AR6" s="39" t="s">
        <v>51</v>
      </c>
      <c r="AS6" s="40" t="s">
        <v>52</v>
      </c>
      <c r="AT6" s="39" t="s">
        <v>53</v>
      </c>
      <c r="AU6" s="40" t="s">
        <v>54</v>
      </c>
      <c r="AV6" s="41" t="s">
        <v>55</v>
      </c>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row>
    <row r="7" spans="1:90" ht="23.25" customHeight="1" x14ac:dyDescent="0.25">
      <c r="A7" s="42">
        <v>1</v>
      </c>
      <c r="B7" s="43" t="s">
        <v>56</v>
      </c>
      <c r="C7" s="44"/>
      <c r="D7" s="45"/>
      <c r="E7" s="45"/>
      <c r="F7" s="45"/>
      <c r="G7" s="45"/>
      <c r="H7" s="46"/>
      <c r="I7" s="46"/>
      <c r="J7" s="46"/>
      <c r="K7" s="46"/>
      <c r="L7" s="46"/>
      <c r="M7" s="46"/>
      <c r="N7" s="47"/>
      <c r="O7" s="46"/>
      <c r="P7" s="46"/>
      <c r="Q7" s="46"/>
      <c r="R7" s="46"/>
      <c r="S7" s="46"/>
      <c r="T7" s="47"/>
      <c r="U7" s="46"/>
      <c r="V7" s="45"/>
      <c r="W7" s="45"/>
      <c r="X7" s="45"/>
      <c r="Y7" s="46"/>
      <c r="Z7" s="47"/>
      <c r="AA7" s="46"/>
      <c r="AB7" s="46"/>
      <c r="AC7" s="46"/>
      <c r="AD7" s="46"/>
      <c r="AE7" s="46"/>
      <c r="AF7" s="46"/>
      <c r="AG7" s="45"/>
      <c r="AH7" s="45"/>
      <c r="AI7" s="45"/>
      <c r="AJ7" s="46"/>
      <c r="AK7" s="45"/>
      <c r="AL7" s="45"/>
      <c r="AM7" s="45"/>
      <c r="AN7" s="46"/>
      <c r="AO7" s="48" t="s">
        <v>57</v>
      </c>
      <c r="AP7" s="49"/>
      <c r="AQ7" s="4"/>
      <c r="AR7" s="46"/>
      <c r="AS7" s="46"/>
      <c r="AT7" s="46"/>
      <c r="AU7" s="46"/>
      <c r="AV7" s="46"/>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row>
    <row r="8" spans="1:90" x14ac:dyDescent="0.25">
      <c r="A8" s="50">
        <v>1.1000000000000001</v>
      </c>
      <c r="B8" s="51" t="s">
        <v>58</v>
      </c>
      <c r="C8" s="52">
        <v>0</v>
      </c>
      <c r="D8" s="53">
        <v>0</v>
      </c>
      <c r="E8" s="53">
        <v>0</v>
      </c>
      <c r="F8" s="53">
        <v>0</v>
      </c>
      <c r="G8" s="53">
        <v>0</v>
      </c>
      <c r="H8" s="54">
        <v>0</v>
      </c>
      <c r="I8" s="55">
        <v>1</v>
      </c>
      <c r="J8" s="54">
        <v>30000</v>
      </c>
      <c r="K8" s="56">
        <f>I8*J8</f>
        <v>30000</v>
      </c>
      <c r="L8" s="54"/>
      <c r="M8" s="57">
        <f>K8+L8</f>
        <v>30000</v>
      </c>
      <c r="N8" s="54"/>
      <c r="O8" s="57">
        <f>M8</f>
        <v>30000</v>
      </c>
      <c r="P8" s="57"/>
      <c r="Q8" s="54"/>
      <c r="R8" s="54"/>
      <c r="S8" s="58">
        <f>O8+P8+Q8+R8</f>
        <v>30000</v>
      </c>
      <c r="T8" s="54"/>
      <c r="U8" s="54"/>
      <c r="V8" s="59"/>
      <c r="W8" s="59"/>
      <c r="X8" s="59"/>
      <c r="Y8" s="54"/>
      <c r="Z8" s="47"/>
      <c r="AA8" s="54"/>
      <c r="AB8" s="54"/>
      <c r="AC8" s="54"/>
      <c r="AD8" s="54"/>
      <c r="AE8" s="54"/>
      <c r="AF8" s="54"/>
      <c r="AG8" s="59"/>
      <c r="AH8" s="59"/>
      <c r="AI8" s="59"/>
      <c r="AJ8" s="54"/>
      <c r="AK8" s="59"/>
      <c r="AL8" s="59"/>
      <c r="AM8" s="59"/>
      <c r="AN8" s="54"/>
      <c r="AO8" s="60"/>
      <c r="AP8" s="49"/>
      <c r="AQ8" s="4"/>
      <c r="AR8" s="49"/>
      <c r="AS8" s="49"/>
      <c r="AT8" s="49"/>
      <c r="AU8" s="49"/>
      <c r="AV8" s="49"/>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row>
    <row r="9" spans="1:90" ht="25.5" x14ac:dyDescent="0.25">
      <c r="A9" s="61">
        <v>1.2</v>
      </c>
      <c r="B9" s="62" t="s">
        <v>59</v>
      </c>
      <c r="C9" s="63"/>
      <c r="D9" s="64"/>
      <c r="E9" s="64"/>
      <c r="F9" s="56"/>
      <c r="G9" s="64"/>
      <c r="H9" s="56"/>
      <c r="I9" s="56"/>
      <c r="J9" s="56"/>
      <c r="K9" s="56"/>
      <c r="L9" s="56"/>
      <c r="M9" s="56"/>
      <c r="N9" s="56"/>
      <c r="O9" s="56"/>
      <c r="P9" s="56"/>
      <c r="Q9" s="56"/>
      <c r="R9" s="56"/>
      <c r="S9" s="58">
        <f>O9+P9+Q9+R9</f>
        <v>0</v>
      </c>
      <c r="T9" s="56"/>
      <c r="U9" s="57"/>
      <c r="V9" s="65"/>
      <c r="W9" s="65"/>
      <c r="X9" s="65"/>
      <c r="Y9" s="66"/>
      <c r="Z9" s="67"/>
      <c r="AA9" s="66"/>
      <c r="AB9" s="66"/>
      <c r="AC9" s="66"/>
      <c r="AD9" s="66"/>
      <c r="AE9" s="66"/>
      <c r="AF9" s="68"/>
      <c r="AG9" s="65"/>
      <c r="AH9" s="65"/>
      <c r="AI9" s="65"/>
      <c r="AJ9" s="66"/>
      <c r="AK9" s="65"/>
      <c r="AL9" s="65"/>
      <c r="AM9" s="65"/>
      <c r="AN9" s="68"/>
      <c r="AO9" s="69"/>
      <c r="AP9" s="49"/>
      <c r="AQ9" s="4"/>
      <c r="AR9" s="66"/>
      <c r="AS9" s="66"/>
      <c r="AT9" s="66"/>
      <c r="AU9" s="66"/>
      <c r="AV9" s="66"/>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row>
    <row r="10" spans="1:90" ht="38.25" x14ac:dyDescent="0.25">
      <c r="A10" s="70" t="s">
        <v>60</v>
      </c>
      <c r="B10" s="51" t="s">
        <v>61</v>
      </c>
      <c r="C10" s="63" t="s">
        <v>62</v>
      </c>
      <c r="D10" s="64">
        <v>6660</v>
      </c>
      <c r="E10" s="64">
        <v>12</v>
      </c>
      <c r="F10" s="56">
        <f>D10*E10</f>
        <v>79920</v>
      </c>
      <c r="G10" s="64"/>
      <c r="H10" s="56">
        <f>F10+G10</f>
        <v>79920</v>
      </c>
      <c r="I10" s="56">
        <f>443*10</f>
        <v>4430</v>
      </c>
      <c r="J10" s="56">
        <v>15</v>
      </c>
      <c r="K10" s="56">
        <f>I10*J10</f>
        <v>66450</v>
      </c>
      <c r="L10" s="56"/>
      <c r="M10" s="57">
        <f>K10+L10</f>
        <v>66450</v>
      </c>
      <c r="N10" s="67"/>
      <c r="O10" s="56">
        <f>443*15</f>
        <v>6645</v>
      </c>
      <c r="P10" s="56">
        <f>443*15*3</f>
        <v>19935</v>
      </c>
      <c r="Q10" s="56">
        <f>443*15*3</f>
        <v>19935</v>
      </c>
      <c r="R10" s="56">
        <f>443*15*3</f>
        <v>19935</v>
      </c>
      <c r="S10" s="58">
        <f>O10+P10+Q10+R10</f>
        <v>66450</v>
      </c>
      <c r="T10" s="67"/>
      <c r="U10" s="57">
        <v>6660</v>
      </c>
      <c r="V10" s="64">
        <v>12</v>
      </c>
      <c r="W10" s="64">
        <f>U10*V10</f>
        <v>79920</v>
      </c>
      <c r="X10" s="64"/>
      <c r="Y10" s="56">
        <f>W10+X10</f>
        <v>79920</v>
      </c>
      <c r="Z10" s="67"/>
      <c r="AA10" s="56">
        <v>6660</v>
      </c>
      <c r="AB10" s="56">
        <v>12</v>
      </c>
      <c r="AC10" s="56">
        <f>AA10*AB10</f>
        <v>79920</v>
      </c>
      <c r="AD10" s="56"/>
      <c r="AE10" s="56">
        <f>AC10+AD10</f>
        <v>79920</v>
      </c>
      <c r="AF10" s="57">
        <v>6660</v>
      </c>
      <c r="AG10" s="64">
        <v>12</v>
      </c>
      <c r="AH10" s="64">
        <f>AF10*AG10</f>
        <v>79920</v>
      </c>
      <c r="AI10" s="64"/>
      <c r="AJ10" s="56">
        <f>AH10+AI10</f>
        <v>79920</v>
      </c>
      <c r="AK10" s="64">
        <f>E10+V10+AG10</f>
        <v>36</v>
      </c>
      <c r="AL10" s="64">
        <f>F10+W10+AH10</f>
        <v>239760</v>
      </c>
      <c r="AM10" s="64">
        <f>G10+X10+AI10</f>
        <v>0</v>
      </c>
      <c r="AN10" s="57">
        <f>AL10+AM10</f>
        <v>239760</v>
      </c>
      <c r="AO10" s="60"/>
      <c r="AP10" s="49"/>
      <c r="AQ10" s="4"/>
      <c r="AR10" s="49">
        <v>19980</v>
      </c>
      <c r="AS10" s="49">
        <v>19980</v>
      </c>
      <c r="AT10" s="49">
        <v>19980</v>
      </c>
      <c r="AU10" s="49">
        <v>19980</v>
      </c>
      <c r="AV10" s="71">
        <f>AR10+AS10+AT10+AU10</f>
        <v>79920</v>
      </c>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row>
    <row r="11" spans="1:90" ht="15.75" x14ac:dyDescent="0.25">
      <c r="A11" s="72"/>
      <c r="B11" s="73" t="s">
        <v>63</v>
      </c>
      <c r="C11" s="74"/>
      <c r="D11" s="75">
        <f>SUM(D10:D10)</f>
        <v>6660</v>
      </c>
      <c r="E11" s="75">
        <f>SUM(E10:E10)</f>
        <v>12</v>
      </c>
      <c r="F11" s="75">
        <f>SUM(F10:F10)</f>
        <v>79920</v>
      </c>
      <c r="G11" s="75">
        <f>SUM(G10:G10)</f>
        <v>0</v>
      </c>
      <c r="H11" s="75">
        <f>SUM(H8:H10)</f>
        <v>79920</v>
      </c>
      <c r="I11" s="76">
        <v>12</v>
      </c>
      <c r="J11" s="75"/>
      <c r="K11" s="75">
        <f>SUM(K8:K10)</f>
        <v>96450</v>
      </c>
      <c r="L11" s="75">
        <f>SUM(L10:L10)</f>
        <v>0</v>
      </c>
      <c r="M11" s="75">
        <f>SUM(M8:M10)</f>
        <v>96450</v>
      </c>
      <c r="N11" s="77"/>
      <c r="O11" s="75">
        <f>SUM(O8:O10)</f>
        <v>36645</v>
      </c>
      <c r="P11" s="75">
        <f>SUM(P8:P10)</f>
        <v>19935</v>
      </c>
      <c r="Q11" s="75">
        <f>SUM(Q8:Q10)</f>
        <v>19935</v>
      </c>
      <c r="R11" s="75">
        <f>SUM(R8:R10)</f>
        <v>19935</v>
      </c>
      <c r="S11" s="58">
        <f>O11+P11+Q11+R11</f>
        <v>96450</v>
      </c>
      <c r="T11" s="77"/>
      <c r="U11" s="75">
        <f>SUM(U10:U10)</f>
        <v>6660</v>
      </c>
      <c r="V11" s="75">
        <f>SUM(V10:V10)</f>
        <v>12</v>
      </c>
      <c r="W11" s="75">
        <f>SUM(W10:W10)</f>
        <v>79920</v>
      </c>
      <c r="X11" s="75">
        <f>SUM(X10:X10)</f>
        <v>0</v>
      </c>
      <c r="Y11" s="75">
        <f>SUM(Y10:Y10)</f>
        <v>79920</v>
      </c>
      <c r="Z11" s="77"/>
      <c r="AA11" s="75"/>
      <c r="AB11" s="78">
        <f t="shared" ref="AB11:AO11" si="0">AB10</f>
        <v>12</v>
      </c>
      <c r="AC11" s="75">
        <f t="shared" si="0"/>
        <v>79920</v>
      </c>
      <c r="AD11" s="75">
        <f t="shared" si="0"/>
        <v>0</v>
      </c>
      <c r="AE11" s="75">
        <f t="shared" si="0"/>
        <v>79920</v>
      </c>
      <c r="AF11" s="75">
        <f t="shared" si="0"/>
        <v>6660</v>
      </c>
      <c r="AG11" s="75">
        <f t="shared" si="0"/>
        <v>12</v>
      </c>
      <c r="AH11" s="75">
        <f t="shared" si="0"/>
        <v>79920</v>
      </c>
      <c r="AI11" s="75">
        <f t="shared" si="0"/>
        <v>0</v>
      </c>
      <c r="AJ11" s="75">
        <f t="shared" si="0"/>
        <v>79920</v>
      </c>
      <c r="AK11" s="75">
        <f t="shared" si="0"/>
        <v>36</v>
      </c>
      <c r="AL11" s="75">
        <f t="shared" si="0"/>
        <v>239760</v>
      </c>
      <c r="AM11" s="75">
        <f t="shared" si="0"/>
        <v>0</v>
      </c>
      <c r="AN11" s="75">
        <f t="shared" si="0"/>
        <v>239760</v>
      </c>
      <c r="AO11" s="79">
        <f t="shared" si="0"/>
        <v>0</v>
      </c>
      <c r="AP11" s="49"/>
      <c r="AQ11" s="79"/>
      <c r="AR11" s="75">
        <f>AR10</f>
        <v>19980</v>
      </c>
      <c r="AS11" s="75">
        <f>AS10</f>
        <v>19980</v>
      </c>
      <c r="AT11" s="75">
        <f>AT10</f>
        <v>19980</v>
      </c>
      <c r="AU11" s="75">
        <f>AU10</f>
        <v>19980</v>
      </c>
      <c r="AV11" s="71">
        <f>AR11+AS11+AT11+AU11</f>
        <v>79920</v>
      </c>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row>
    <row r="12" spans="1:90" ht="110.25" x14ac:dyDescent="0.25">
      <c r="A12" s="80">
        <v>1.3</v>
      </c>
      <c r="B12" s="81" t="s">
        <v>64</v>
      </c>
      <c r="C12" s="82"/>
      <c r="D12" s="65"/>
      <c r="E12" s="65"/>
      <c r="F12" s="65"/>
      <c r="G12" s="65"/>
      <c r="H12" s="65"/>
      <c r="I12" s="65"/>
      <c r="J12" s="65"/>
      <c r="K12" s="65"/>
      <c r="L12" s="65"/>
      <c r="M12" s="65"/>
      <c r="N12" s="77"/>
      <c r="O12" s="65"/>
      <c r="P12" s="65"/>
      <c r="Q12" s="65"/>
      <c r="R12" s="65"/>
      <c r="S12" s="65"/>
      <c r="T12" s="77"/>
      <c r="U12" s="65"/>
      <c r="V12" s="65"/>
      <c r="W12" s="65"/>
      <c r="X12" s="65"/>
      <c r="Y12" s="65"/>
      <c r="Z12" s="77"/>
      <c r="AA12" s="65"/>
      <c r="AB12" s="65"/>
      <c r="AC12" s="65"/>
      <c r="AD12" s="65"/>
      <c r="AE12" s="65"/>
      <c r="AF12" s="65"/>
      <c r="AG12" s="65"/>
      <c r="AH12" s="65"/>
      <c r="AI12" s="65"/>
      <c r="AJ12" s="65"/>
      <c r="AK12" s="65"/>
      <c r="AL12" s="65"/>
      <c r="AM12" s="65"/>
      <c r="AN12" s="65"/>
      <c r="AO12" s="83"/>
      <c r="AP12" s="49"/>
      <c r="AQ12" s="4"/>
      <c r="AR12" s="65"/>
      <c r="AS12" s="65"/>
      <c r="AT12" s="65"/>
      <c r="AU12" s="65"/>
      <c r="AV12" s="65"/>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row>
    <row r="13" spans="1:90" ht="76.5" x14ac:dyDescent="0.25">
      <c r="A13" s="70" t="s">
        <v>65</v>
      </c>
      <c r="B13" s="51" t="s">
        <v>66</v>
      </c>
      <c r="C13" s="63" t="s">
        <v>62</v>
      </c>
      <c r="D13" s="64">
        <v>2000</v>
      </c>
      <c r="E13" s="64">
        <v>1</v>
      </c>
      <c r="F13" s="56">
        <f>D13*E13</f>
        <v>2000</v>
      </c>
      <c r="G13" s="64"/>
      <c r="H13" s="56">
        <f>F13+G13</f>
        <v>2000</v>
      </c>
      <c r="I13" s="56">
        <v>1</v>
      </c>
      <c r="J13" s="56">
        <v>2000</v>
      </c>
      <c r="K13" s="56">
        <f>I13*J13</f>
        <v>2000</v>
      </c>
      <c r="L13" s="56"/>
      <c r="M13" s="57">
        <f>K13+L13</f>
        <v>2000</v>
      </c>
      <c r="N13" s="67"/>
      <c r="O13" s="56">
        <f>+M13</f>
        <v>2000</v>
      </c>
      <c r="Q13" s="56"/>
      <c r="R13" s="56"/>
      <c r="S13" s="58"/>
      <c r="T13" s="67"/>
      <c r="U13" s="57">
        <v>2000</v>
      </c>
      <c r="V13" s="64">
        <v>1</v>
      </c>
      <c r="W13" s="64">
        <f>U13*V13</f>
        <v>2000</v>
      </c>
      <c r="X13" s="64"/>
      <c r="Y13" s="56">
        <f>W13+X13</f>
        <v>2000</v>
      </c>
      <c r="Z13" s="67"/>
      <c r="AA13" s="56">
        <v>2000</v>
      </c>
      <c r="AB13" s="67">
        <v>1</v>
      </c>
      <c r="AC13" s="56">
        <f>AA13*AB13</f>
        <v>2000</v>
      </c>
      <c r="AD13" s="56"/>
      <c r="AE13" s="56">
        <f>AC13+AD13</f>
        <v>2000</v>
      </c>
      <c r="AF13" s="57">
        <v>2000</v>
      </c>
      <c r="AG13" s="64">
        <v>1</v>
      </c>
      <c r="AH13" s="64">
        <f>AF13*AG13</f>
        <v>2000</v>
      </c>
      <c r="AI13" s="64"/>
      <c r="AJ13" s="56">
        <f>AH13+AI13</f>
        <v>2000</v>
      </c>
      <c r="AK13" s="64">
        <f t="shared" ref="AK13:AM16" si="1">E13+V13+AG13</f>
        <v>3</v>
      </c>
      <c r="AL13" s="64">
        <f t="shared" si="1"/>
        <v>6000</v>
      </c>
      <c r="AM13" s="64">
        <f t="shared" si="1"/>
        <v>0</v>
      </c>
      <c r="AN13" s="57">
        <f>AL13+AM13</f>
        <v>6000</v>
      </c>
      <c r="AO13" s="60"/>
      <c r="AP13" s="47" t="s">
        <v>67</v>
      </c>
      <c r="AQ13" s="4">
        <f>2000*4</f>
        <v>8000</v>
      </c>
      <c r="AR13" s="49">
        <v>2000</v>
      </c>
      <c r="AS13" s="49">
        <v>0</v>
      </c>
      <c r="AT13" s="49">
        <v>0</v>
      </c>
      <c r="AU13" s="49">
        <v>0</v>
      </c>
      <c r="AV13" s="71">
        <f>AR13+AS13+AT13+AU13</f>
        <v>2000</v>
      </c>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row>
    <row r="14" spans="1:90" ht="25.5" x14ac:dyDescent="0.25">
      <c r="A14" s="70" t="s">
        <v>68</v>
      </c>
      <c r="B14" s="84" t="s">
        <v>69</v>
      </c>
      <c r="C14" s="63" t="s">
        <v>70</v>
      </c>
      <c r="D14" s="64">
        <v>3360</v>
      </c>
      <c r="E14" s="64">
        <v>3</v>
      </c>
      <c r="F14" s="56">
        <f>D14*E14</f>
        <v>10080</v>
      </c>
      <c r="G14" s="64"/>
      <c r="H14" s="56">
        <f>F14+G14</f>
        <v>10080</v>
      </c>
      <c r="I14" s="56">
        <v>26</v>
      </c>
      <c r="J14" s="56">
        <v>120</v>
      </c>
      <c r="K14" s="56">
        <f>I14*J14</f>
        <v>3120</v>
      </c>
      <c r="L14" s="56"/>
      <c r="M14" s="57">
        <f>K14+L14</f>
        <v>3120</v>
      </c>
      <c r="N14" s="67"/>
      <c r="O14" s="56">
        <f>+M14</f>
        <v>3120</v>
      </c>
      <c r="Q14" s="56"/>
      <c r="R14" s="56"/>
      <c r="S14" s="58"/>
      <c r="T14" s="67"/>
      <c r="U14" s="57">
        <v>3360</v>
      </c>
      <c r="V14" s="64">
        <v>4</v>
      </c>
      <c r="W14" s="64">
        <f>U14*V14</f>
        <v>13440</v>
      </c>
      <c r="X14" s="64"/>
      <c r="Y14" s="56">
        <f>W14+X14</f>
        <v>13440</v>
      </c>
      <c r="Z14" s="67"/>
      <c r="AA14" s="56">
        <v>3120</v>
      </c>
      <c r="AB14" s="56">
        <v>4</v>
      </c>
      <c r="AC14" s="56">
        <f>AA14*AB14</f>
        <v>12480</v>
      </c>
      <c r="AD14" s="56"/>
      <c r="AE14" s="56">
        <f>AC14+AD14</f>
        <v>12480</v>
      </c>
      <c r="AF14" s="57">
        <v>3360</v>
      </c>
      <c r="AG14" s="64">
        <v>3</v>
      </c>
      <c r="AH14" s="64">
        <f>AF14*AG14</f>
        <v>10080</v>
      </c>
      <c r="AI14" s="64"/>
      <c r="AJ14" s="56">
        <f>AH14+AI14</f>
        <v>10080</v>
      </c>
      <c r="AK14" s="64">
        <f t="shared" si="1"/>
        <v>10</v>
      </c>
      <c r="AL14" s="64">
        <f t="shared" si="1"/>
        <v>33600</v>
      </c>
      <c r="AM14" s="64">
        <f t="shared" si="1"/>
        <v>0</v>
      </c>
      <c r="AN14" s="57">
        <f>AL14+AM14</f>
        <v>33600</v>
      </c>
      <c r="AO14" s="60"/>
      <c r="AP14" s="49" t="s">
        <v>71</v>
      </c>
      <c r="AQ14" s="4"/>
      <c r="AR14" s="49">
        <v>3120</v>
      </c>
      <c r="AS14" s="49">
        <v>3120</v>
      </c>
      <c r="AT14" s="49">
        <v>3120</v>
      </c>
      <c r="AU14" s="49">
        <v>3120</v>
      </c>
      <c r="AV14" s="71">
        <f>AR14+AS14+AT14+AU14</f>
        <v>12480</v>
      </c>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row>
    <row r="15" spans="1:90" ht="51" x14ac:dyDescent="0.25">
      <c r="A15" s="70" t="s">
        <v>72</v>
      </c>
      <c r="B15" s="51" t="s">
        <v>73</v>
      </c>
      <c r="C15" s="63" t="s">
        <v>74</v>
      </c>
      <c r="D15" s="64">
        <v>3500</v>
      </c>
      <c r="E15" s="64">
        <v>3</v>
      </c>
      <c r="F15" s="56">
        <f>D15*E15</f>
        <v>10500</v>
      </c>
      <c r="G15" s="64"/>
      <c r="H15" s="56">
        <f>F15+G15</f>
        <v>10500</v>
      </c>
      <c r="I15" s="56">
        <v>2</v>
      </c>
      <c r="J15" s="56">
        <v>2500</v>
      </c>
      <c r="K15" s="56">
        <f>I15*J15</f>
        <v>5000</v>
      </c>
      <c r="L15" s="56"/>
      <c r="M15" s="57">
        <f>K15+L15</f>
        <v>5000</v>
      </c>
      <c r="N15" s="67"/>
      <c r="O15" s="56">
        <f>+M15</f>
        <v>5000</v>
      </c>
      <c r="Q15" s="56"/>
      <c r="R15" s="56"/>
      <c r="S15" s="58"/>
      <c r="T15" s="67"/>
      <c r="U15" s="57">
        <v>3500</v>
      </c>
      <c r="V15" s="64">
        <v>4</v>
      </c>
      <c r="W15" s="64">
        <f>U15*V15</f>
        <v>14000</v>
      </c>
      <c r="X15" s="64"/>
      <c r="Y15" s="56">
        <f>W15+X15</f>
        <v>14000</v>
      </c>
      <c r="Z15" s="67"/>
      <c r="AA15" s="56">
        <v>2500</v>
      </c>
      <c r="AB15" s="67">
        <v>8</v>
      </c>
      <c r="AC15" s="56">
        <f>AA15*AB15</f>
        <v>20000</v>
      </c>
      <c r="AD15" s="56"/>
      <c r="AE15" s="56">
        <f>AC15+AD15</f>
        <v>20000</v>
      </c>
      <c r="AF15" s="57">
        <v>3500</v>
      </c>
      <c r="AG15" s="64">
        <v>3</v>
      </c>
      <c r="AH15" s="64">
        <f>AF15*AG15</f>
        <v>10500</v>
      </c>
      <c r="AI15" s="64"/>
      <c r="AJ15" s="56">
        <f>AH15+AI15</f>
        <v>10500</v>
      </c>
      <c r="AK15" s="64">
        <f t="shared" si="1"/>
        <v>10</v>
      </c>
      <c r="AL15" s="64">
        <f t="shared" si="1"/>
        <v>35000</v>
      </c>
      <c r="AM15" s="64">
        <f t="shared" si="1"/>
        <v>0</v>
      </c>
      <c r="AN15" s="57">
        <f>AL15+AM15</f>
        <v>35000</v>
      </c>
      <c r="AO15" s="60"/>
      <c r="AP15" s="47" t="s">
        <v>75</v>
      </c>
      <c r="AQ15" s="4">
        <f>2500*4*4</f>
        <v>40000</v>
      </c>
      <c r="AR15" s="49">
        <v>5000</v>
      </c>
      <c r="AS15" s="49">
        <v>5000</v>
      </c>
      <c r="AT15" s="49">
        <v>5000</v>
      </c>
      <c r="AU15" s="49">
        <v>5000</v>
      </c>
      <c r="AV15" s="71">
        <f>AR15+AS15+AT15+AU15</f>
        <v>20000</v>
      </c>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row>
    <row r="16" spans="1:90" x14ac:dyDescent="0.25">
      <c r="A16" s="70" t="s">
        <v>76</v>
      </c>
      <c r="B16" s="51" t="s">
        <v>77</v>
      </c>
      <c r="C16" s="63" t="s">
        <v>78</v>
      </c>
      <c r="D16" s="64">
        <v>500</v>
      </c>
      <c r="E16" s="64">
        <v>3</v>
      </c>
      <c r="F16" s="56">
        <f>D16*E16</f>
        <v>1500</v>
      </c>
      <c r="G16" s="64"/>
      <c r="H16" s="56">
        <f>F16+G16</f>
        <v>1500</v>
      </c>
      <c r="I16" s="56">
        <v>20</v>
      </c>
      <c r="J16" s="56">
        <v>50</v>
      </c>
      <c r="K16" s="56">
        <f>I16*J16</f>
        <v>1000</v>
      </c>
      <c r="L16" s="56"/>
      <c r="M16" s="57">
        <f>K16+L16</f>
        <v>1000</v>
      </c>
      <c r="N16" s="67"/>
      <c r="O16" s="56">
        <f>+M16</f>
        <v>1000</v>
      </c>
      <c r="Q16" s="56"/>
      <c r="R16" s="56"/>
      <c r="S16" s="58"/>
      <c r="T16" s="67"/>
      <c r="U16" s="57">
        <v>500</v>
      </c>
      <c r="V16" s="64">
        <v>4</v>
      </c>
      <c r="W16" s="64">
        <f>U16*V16</f>
        <v>2000</v>
      </c>
      <c r="X16" s="64"/>
      <c r="Y16" s="56">
        <f>W16+X16</f>
        <v>2000</v>
      </c>
      <c r="Z16" s="67"/>
      <c r="AA16" s="56">
        <v>500</v>
      </c>
      <c r="AB16" s="56">
        <v>4</v>
      </c>
      <c r="AC16" s="56">
        <f>AA16*AB16</f>
        <v>2000</v>
      </c>
      <c r="AD16" s="56"/>
      <c r="AE16" s="56">
        <f>AC16+AD16</f>
        <v>2000</v>
      </c>
      <c r="AF16" s="57">
        <v>500</v>
      </c>
      <c r="AG16" s="64">
        <v>3</v>
      </c>
      <c r="AH16" s="64">
        <f>AF16*AG16</f>
        <v>1500</v>
      </c>
      <c r="AI16" s="64"/>
      <c r="AJ16" s="56">
        <f>AH16+AI16</f>
        <v>1500</v>
      </c>
      <c r="AK16" s="64">
        <f t="shared" si="1"/>
        <v>10</v>
      </c>
      <c r="AL16" s="64">
        <f t="shared" si="1"/>
        <v>5000</v>
      </c>
      <c r="AM16" s="64">
        <f t="shared" si="1"/>
        <v>0</v>
      </c>
      <c r="AN16" s="57">
        <f>AL16+AM16</f>
        <v>5000</v>
      </c>
      <c r="AO16" s="60"/>
      <c r="AP16" s="49"/>
      <c r="AQ16" s="4"/>
      <c r="AR16" s="49">
        <v>500</v>
      </c>
      <c r="AS16" s="49">
        <v>500</v>
      </c>
      <c r="AT16" s="49">
        <v>500</v>
      </c>
      <c r="AU16" s="49">
        <v>500</v>
      </c>
      <c r="AV16" s="71">
        <f>AR16+AS16+AT16+AU16</f>
        <v>2000</v>
      </c>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row>
    <row r="17" spans="1:90" ht="15.75" x14ac:dyDescent="0.25">
      <c r="A17" s="85"/>
      <c r="B17" s="73" t="s">
        <v>79</v>
      </c>
      <c r="C17" s="86"/>
      <c r="D17" s="75">
        <f>SUM(D13:D16)</f>
        <v>9360</v>
      </c>
      <c r="E17" s="78">
        <v>3</v>
      </c>
      <c r="F17" s="75">
        <f>SUM(F13:F16)</f>
        <v>24080</v>
      </c>
      <c r="G17" s="75">
        <f>SUM(G13:G16)</f>
        <v>0</v>
      </c>
      <c r="H17" s="75">
        <f>SUM(H13:H16)</f>
        <v>24080</v>
      </c>
      <c r="I17" s="76">
        <v>1</v>
      </c>
      <c r="J17" s="75"/>
      <c r="K17" s="75">
        <f>SUM(K13:K16)</f>
        <v>11120</v>
      </c>
      <c r="L17" s="75">
        <f>SUM(L13:L16)</f>
        <v>0</v>
      </c>
      <c r="M17" s="75">
        <f>SUM(M13:M16)</f>
        <v>11120</v>
      </c>
      <c r="N17" s="77"/>
      <c r="O17" s="75">
        <f>SUM(O13:O16)</f>
        <v>11120</v>
      </c>
      <c r="P17" s="75"/>
      <c r="Q17" s="75">
        <f>SUM(Q13:Q16)</f>
        <v>0</v>
      </c>
      <c r="R17" s="75">
        <f>SUM(R13:R16)</f>
        <v>0</v>
      </c>
      <c r="S17" s="58">
        <f>O17+P17+Q17+R17</f>
        <v>11120</v>
      </c>
      <c r="T17" s="77"/>
      <c r="U17" s="75">
        <f>SUM(U13:U16)</f>
        <v>9360</v>
      </c>
      <c r="V17" s="78">
        <v>4</v>
      </c>
      <c r="W17" s="75">
        <f>SUM(W13:W16)</f>
        <v>31440</v>
      </c>
      <c r="X17" s="75">
        <f>SUM(X13:X16)</f>
        <v>0</v>
      </c>
      <c r="Y17" s="75">
        <f>SUM(Y13:Y16)</f>
        <v>31440</v>
      </c>
      <c r="Z17" s="77"/>
      <c r="AA17" s="75"/>
      <c r="AB17" s="78">
        <v>4</v>
      </c>
      <c r="AC17" s="75">
        <f>SUM(AC13:AC16)</f>
        <v>36480</v>
      </c>
      <c r="AD17" s="75">
        <f>SUM(AD13:AD16)</f>
        <v>0</v>
      </c>
      <c r="AE17" s="75">
        <f>SUM(AE13:AE16)</f>
        <v>36480</v>
      </c>
      <c r="AF17" s="75">
        <f>SUM(AF13:AF16)</f>
        <v>9360</v>
      </c>
      <c r="AG17" s="78">
        <v>3</v>
      </c>
      <c r="AH17" s="75">
        <f>SUM(AH13:AH16)</f>
        <v>24080</v>
      </c>
      <c r="AI17" s="75">
        <f>SUM(AI13:AI16)</f>
        <v>0</v>
      </c>
      <c r="AJ17" s="75">
        <f>SUM(AJ13:AJ16)</f>
        <v>24080</v>
      </c>
      <c r="AK17" s="78">
        <f>AG17+V17+E17</f>
        <v>10</v>
      </c>
      <c r="AL17" s="75">
        <f>SUM(AL13:AL16)</f>
        <v>79600</v>
      </c>
      <c r="AM17" s="75">
        <f>SUM(AM13:AM16)</f>
        <v>0</v>
      </c>
      <c r="AN17" s="75">
        <f>SUM(AN13:AN16)</f>
        <v>79600</v>
      </c>
      <c r="AO17" s="87"/>
      <c r="AP17" s="88"/>
      <c r="AQ17" s="79"/>
      <c r="AR17" s="75">
        <f>SUM(AR13:AR16)</f>
        <v>10620</v>
      </c>
      <c r="AS17" s="75">
        <f>SUM(AS13:AS16)</f>
        <v>8620</v>
      </c>
      <c r="AT17" s="75">
        <f>SUM(AT13:AT16)</f>
        <v>8620</v>
      </c>
      <c r="AU17" s="75">
        <f>SUM(AU13:AU16)</f>
        <v>8620</v>
      </c>
      <c r="AV17" s="71">
        <f>AR17+AS17+AT17+AU17</f>
        <v>36480</v>
      </c>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row>
    <row r="18" spans="1:90" ht="110.25" x14ac:dyDescent="0.25">
      <c r="A18" s="80">
        <v>1.4</v>
      </c>
      <c r="B18" s="81" t="s">
        <v>80</v>
      </c>
      <c r="C18" s="89"/>
      <c r="D18" s="65"/>
      <c r="E18" s="65"/>
      <c r="F18" s="65"/>
      <c r="G18" s="65"/>
      <c r="H18" s="65"/>
      <c r="I18" s="65"/>
      <c r="J18" s="65"/>
      <c r="K18" s="65"/>
      <c r="L18" s="65"/>
      <c r="M18" s="65"/>
      <c r="N18" s="77"/>
      <c r="O18" s="65"/>
      <c r="P18" s="65"/>
      <c r="Q18" s="65"/>
      <c r="R18" s="65"/>
      <c r="S18" s="65"/>
      <c r="T18" s="77"/>
      <c r="U18" s="65"/>
      <c r="V18" s="65"/>
      <c r="W18" s="65"/>
      <c r="X18" s="65"/>
      <c r="Y18" s="65"/>
      <c r="Z18" s="77"/>
      <c r="AA18" s="65"/>
      <c r="AB18" s="65"/>
      <c r="AC18" s="65"/>
      <c r="AD18" s="65"/>
      <c r="AE18" s="65"/>
      <c r="AF18" s="65"/>
      <c r="AG18" s="65"/>
      <c r="AH18" s="65"/>
      <c r="AI18" s="65"/>
      <c r="AJ18" s="65"/>
      <c r="AK18" s="65"/>
      <c r="AL18" s="65"/>
      <c r="AM18" s="65"/>
      <c r="AN18" s="65"/>
      <c r="AO18" s="83"/>
      <c r="AP18" s="49"/>
      <c r="AQ18" s="4"/>
      <c r="AR18" s="65"/>
      <c r="AS18" s="65"/>
      <c r="AT18" s="65"/>
      <c r="AU18" s="65"/>
      <c r="AV18" s="65"/>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row>
    <row r="19" spans="1:90" ht="25.5" x14ac:dyDescent="0.25">
      <c r="A19" s="90" t="s">
        <v>81</v>
      </c>
      <c r="B19" s="51" t="s">
        <v>82</v>
      </c>
      <c r="C19" s="91" t="s">
        <v>62</v>
      </c>
      <c r="D19" s="77">
        <v>2000</v>
      </c>
      <c r="E19" s="77">
        <v>2</v>
      </c>
      <c r="F19" s="56">
        <f>D19*E19</f>
        <v>4000</v>
      </c>
      <c r="G19" s="77"/>
      <c r="H19" s="56">
        <f>F19+G19</f>
        <v>4000</v>
      </c>
      <c r="I19" s="56">
        <v>2</v>
      </c>
      <c r="J19" s="56">
        <v>2000</v>
      </c>
      <c r="K19" s="56">
        <f>I19*J19</f>
        <v>4000</v>
      </c>
      <c r="L19" s="56"/>
      <c r="M19" s="57">
        <f>K19+L19</f>
        <v>4000</v>
      </c>
      <c r="N19" s="67"/>
      <c r="O19" s="56">
        <f>J19</f>
        <v>2000</v>
      </c>
      <c r="P19" s="56"/>
      <c r="Q19" s="56"/>
      <c r="R19" s="56">
        <v>2000</v>
      </c>
      <c r="S19" s="58">
        <f>O19+P19+Q19+R19</f>
        <v>4000</v>
      </c>
      <c r="T19" s="67"/>
      <c r="U19" s="92">
        <v>2000</v>
      </c>
      <c r="V19" s="77">
        <v>4</v>
      </c>
      <c r="W19" s="64">
        <f>U19*V19</f>
        <v>8000</v>
      </c>
      <c r="X19" s="77"/>
      <c r="Y19" s="56">
        <f>W19+X19</f>
        <v>8000</v>
      </c>
      <c r="Z19" s="67"/>
      <c r="AA19" s="56">
        <v>2000</v>
      </c>
      <c r="AB19" s="56">
        <v>4</v>
      </c>
      <c r="AC19" s="56">
        <f>AA19*AB19</f>
        <v>8000</v>
      </c>
      <c r="AD19" s="56"/>
      <c r="AE19" s="56">
        <f>AC19+AD19</f>
        <v>8000</v>
      </c>
      <c r="AF19" s="92">
        <v>2000</v>
      </c>
      <c r="AG19" s="77">
        <v>3</v>
      </c>
      <c r="AH19" s="64">
        <f>AF19*AG19</f>
        <v>6000</v>
      </c>
      <c r="AI19" s="77"/>
      <c r="AJ19" s="56">
        <f>AH19+AI19</f>
        <v>6000</v>
      </c>
      <c r="AK19" s="64">
        <f t="shared" ref="AK19:AM22" si="2">E19+V19+AG19</f>
        <v>9</v>
      </c>
      <c r="AL19" s="64">
        <f t="shared" si="2"/>
        <v>18000</v>
      </c>
      <c r="AM19" s="64">
        <f t="shared" si="2"/>
        <v>0</v>
      </c>
      <c r="AN19" s="57">
        <f>AL19+AM19</f>
        <v>18000</v>
      </c>
      <c r="AO19" s="93"/>
      <c r="AP19" s="49"/>
      <c r="AQ19" s="4"/>
      <c r="AR19" s="49">
        <v>2000</v>
      </c>
      <c r="AS19" s="49">
        <v>2000</v>
      </c>
      <c r="AT19" s="49">
        <v>2000</v>
      </c>
      <c r="AU19" s="49">
        <v>2000</v>
      </c>
      <c r="AV19" s="71">
        <f>AR19+AS19+AT19+AU19</f>
        <v>8000</v>
      </c>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row>
    <row r="20" spans="1:90" ht="38.25" x14ac:dyDescent="0.25">
      <c r="A20" s="90" t="s">
        <v>83</v>
      </c>
      <c r="B20" s="51" t="s">
        <v>84</v>
      </c>
      <c r="C20" s="91" t="s">
        <v>70</v>
      </c>
      <c r="D20" s="77">
        <v>3360</v>
      </c>
      <c r="E20" s="77">
        <v>2</v>
      </c>
      <c r="F20" s="56">
        <f>D20*E20</f>
        <v>6720</v>
      </c>
      <c r="G20" s="77"/>
      <c r="H20" s="56">
        <f>F20+G20</f>
        <v>6720</v>
      </c>
      <c r="I20" s="56">
        <v>82</v>
      </c>
      <c r="J20" s="56">
        <v>120</v>
      </c>
      <c r="K20" s="56">
        <f>I20*J20</f>
        <v>9840</v>
      </c>
      <c r="L20" s="56"/>
      <c r="M20" s="57">
        <f>K20+L20</f>
        <v>9840</v>
      </c>
      <c r="N20" s="67"/>
      <c r="O20" s="56">
        <f>M20/2</f>
        <v>4920</v>
      </c>
      <c r="P20" s="56"/>
      <c r="Q20" s="56"/>
      <c r="R20" s="56">
        <f>M20/2</f>
        <v>4920</v>
      </c>
      <c r="S20" s="58">
        <f>O20+P20+Q20+R20</f>
        <v>9840</v>
      </c>
      <c r="T20" s="67"/>
      <c r="U20" s="92">
        <v>3360</v>
      </c>
      <c r="V20" s="77">
        <v>4</v>
      </c>
      <c r="W20" s="64">
        <f>U20*V20</f>
        <v>13440</v>
      </c>
      <c r="X20" s="77"/>
      <c r="Y20" s="56">
        <f>W20+X20</f>
        <v>13440</v>
      </c>
      <c r="Z20" s="67"/>
      <c r="AA20" s="56">
        <v>4920</v>
      </c>
      <c r="AB20" s="56">
        <v>4</v>
      </c>
      <c r="AC20" s="56">
        <f>AA20*AB20</f>
        <v>19680</v>
      </c>
      <c r="AD20" s="56"/>
      <c r="AE20" s="56">
        <f>AC20+AD20</f>
        <v>19680</v>
      </c>
      <c r="AF20" s="92">
        <v>3360</v>
      </c>
      <c r="AG20" s="77">
        <v>3</v>
      </c>
      <c r="AH20" s="64">
        <f>AF20*AG20</f>
        <v>10080</v>
      </c>
      <c r="AI20" s="77"/>
      <c r="AJ20" s="56">
        <f>AH20+AI20</f>
        <v>10080</v>
      </c>
      <c r="AK20" s="64">
        <f t="shared" si="2"/>
        <v>9</v>
      </c>
      <c r="AL20" s="64">
        <f t="shared" si="2"/>
        <v>30240</v>
      </c>
      <c r="AM20" s="64">
        <f t="shared" si="2"/>
        <v>0</v>
      </c>
      <c r="AN20" s="57">
        <f>AL20+AM20</f>
        <v>30240</v>
      </c>
      <c r="AO20" s="93"/>
      <c r="AP20" s="49" t="s">
        <v>71</v>
      </c>
      <c r="AQ20" s="4"/>
      <c r="AR20" s="49">
        <v>4920</v>
      </c>
      <c r="AS20" s="49">
        <v>4920</v>
      </c>
      <c r="AT20" s="49">
        <v>4920</v>
      </c>
      <c r="AU20" s="49">
        <v>4920</v>
      </c>
      <c r="AV20" s="71">
        <f>AR20+AS20+AT20+AU20</f>
        <v>19680</v>
      </c>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row>
    <row r="21" spans="1:90" ht="51" x14ac:dyDescent="0.25">
      <c r="A21" s="90" t="s">
        <v>85</v>
      </c>
      <c r="B21" s="51" t="s">
        <v>86</v>
      </c>
      <c r="C21" s="91" t="s">
        <v>74</v>
      </c>
      <c r="D21" s="77">
        <v>3500</v>
      </c>
      <c r="E21" s="77">
        <v>2</v>
      </c>
      <c r="F21" s="56">
        <f>D21*E21</f>
        <v>7000</v>
      </c>
      <c r="G21" s="77"/>
      <c r="H21" s="56">
        <f>F21+G21</f>
        <v>7000</v>
      </c>
      <c r="I21" s="56">
        <f>3*2</f>
        <v>6</v>
      </c>
      <c r="J21" s="56">
        <v>2500</v>
      </c>
      <c r="K21" s="56">
        <f>I21*J21</f>
        <v>15000</v>
      </c>
      <c r="L21" s="56"/>
      <c r="M21" s="57">
        <f>K21+L21</f>
        <v>15000</v>
      </c>
      <c r="N21" s="67"/>
      <c r="O21" s="56">
        <f>M21/2</f>
        <v>7500</v>
      </c>
      <c r="P21" s="56"/>
      <c r="Q21" s="56"/>
      <c r="R21" s="56">
        <f>M21/2</f>
        <v>7500</v>
      </c>
      <c r="S21" s="58">
        <f>O21+P21+Q21+R21</f>
        <v>15000</v>
      </c>
      <c r="T21" s="67"/>
      <c r="U21" s="92">
        <v>3500</v>
      </c>
      <c r="V21" s="77">
        <v>4</v>
      </c>
      <c r="W21" s="64">
        <f>U21*V21</f>
        <v>14000</v>
      </c>
      <c r="X21" s="77"/>
      <c r="Y21" s="56">
        <f>W21+X21</f>
        <v>14000</v>
      </c>
      <c r="Z21" s="67"/>
      <c r="AA21" s="56">
        <v>2500</v>
      </c>
      <c r="AB21" s="56">
        <v>12</v>
      </c>
      <c r="AC21" s="56">
        <f>AA21*AB21</f>
        <v>30000</v>
      </c>
      <c r="AD21" s="56"/>
      <c r="AE21" s="56">
        <f>AC21+AD21</f>
        <v>30000</v>
      </c>
      <c r="AF21" s="92">
        <v>3500</v>
      </c>
      <c r="AG21" s="77">
        <v>3</v>
      </c>
      <c r="AH21" s="64">
        <f>AF21*AG21</f>
        <v>10500</v>
      </c>
      <c r="AI21" s="77"/>
      <c r="AJ21" s="56">
        <f>AH21+AI21</f>
        <v>10500</v>
      </c>
      <c r="AK21" s="64">
        <f t="shared" si="2"/>
        <v>9</v>
      </c>
      <c r="AL21" s="64">
        <f t="shared" si="2"/>
        <v>31500</v>
      </c>
      <c r="AM21" s="64">
        <f t="shared" si="2"/>
        <v>0</v>
      </c>
      <c r="AN21" s="57">
        <f>AL21+AM21</f>
        <v>31500</v>
      </c>
      <c r="AO21" s="93"/>
      <c r="AP21" s="54" t="s">
        <v>87</v>
      </c>
      <c r="AQ21" s="4"/>
      <c r="AR21" s="49">
        <v>7500</v>
      </c>
      <c r="AS21" s="49">
        <v>7500</v>
      </c>
      <c r="AT21" s="49">
        <v>7500</v>
      </c>
      <c r="AU21" s="49">
        <v>7500</v>
      </c>
      <c r="AV21" s="71">
        <f>AR21+AS21+AT21+AU21</f>
        <v>30000</v>
      </c>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row>
    <row r="22" spans="1:90" x14ac:dyDescent="0.25">
      <c r="A22" s="90" t="s">
        <v>88</v>
      </c>
      <c r="B22" s="51" t="s">
        <v>77</v>
      </c>
      <c r="C22" s="91" t="s">
        <v>78</v>
      </c>
      <c r="D22" s="77">
        <v>500</v>
      </c>
      <c r="E22" s="77">
        <v>2</v>
      </c>
      <c r="F22" s="56">
        <f>D22*E22</f>
        <v>1000</v>
      </c>
      <c r="G22" s="77"/>
      <c r="H22" s="56">
        <f>F22+G22</f>
        <v>1000</v>
      </c>
      <c r="I22" s="56">
        <f>2*35</f>
        <v>70</v>
      </c>
      <c r="J22" s="56">
        <v>50</v>
      </c>
      <c r="K22" s="56">
        <f>I22*J22</f>
        <v>3500</v>
      </c>
      <c r="L22" s="56"/>
      <c r="M22" s="57">
        <f>K22+L22</f>
        <v>3500</v>
      </c>
      <c r="N22" s="67"/>
      <c r="O22" s="56">
        <f>M22/2</f>
        <v>1750</v>
      </c>
      <c r="P22" s="56"/>
      <c r="Q22" s="56"/>
      <c r="R22" s="56">
        <f>M22/2</f>
        <v>1750</v>
      </c>
      <c r="S22" s="58">
        <f>O22+P22+Q22+R22</f>
        <v>3500</v>
      </c>
      <c r="T22" s="67"/>
      <c r="U22" s="92">
        <v>500</v>
      </c>
      <c r="V22" s="77">
        <v>4</v>
      </c>
      <c r="W22" s="64">
        <f>U22*V22</f>
        <v>2000</v>
      </c>
      <c r="X22" s="77"/>
      <c r="Y22" s="56">
        <f>W22+X22</f>
        <v>2000</v>
      </c>
      <c r="Z22" s="67"/>
      <c r="AA22" s="56">
        <v>500</v>
      </c>
      <c r="AB22" s="56">
        <v>4</v>
      </c>
      <c r="AC22" s="56">
        <f>AA22*AB22</f>
        <v>2000</v>
      </c>
      <c r="AD22" s="56"/>
      <c r="AE22" s="56">
        <f>AC22+AD22</f>
        <v>2000</v>
      </c>
      <c r="AF22" s="92">
        <v>500</v>
      </c>
      <c r="AG22" s="77">
        <v>3</v>
      </c>
      <c r="AH22" s="64">
        <f>AF22*AG22</f>
        <v>1500</v>
      </c>
      <c r="AI22" s="77"/>
      <c r="AJ22" s="56">
        <f>AH22+AI22</f>
        <v>1500</v>
      </c>
      <c r="AK22" s="64">
        <f t="shared" si="2"/>
        <v>9</v>
      </c>
      <c r="AL22" s="64">
        <f t="shared" si="2"/>
        <v>4500</v>
      </c>
      <c r="AM22" s="64">
        <f t="shared" si="2"/>
        <v>0</v>
      </c>
      <c r="AN22" s="57">
        <f>AL22+AM22</f>
        <v>4500</v>
      </c>
      <c r="AO22" s="93"/>
      <c r="AP22" s="49"/>
      <c r="AQ22" s="4"/>
      <c r="AR22" s="49">
        <v>500</v>
      </c>
      <c r="AS22" s="49">
        <v>500</v>
      </c>
      <c r="AT22" s="49">
        <v>500</v>
      </c>
      <c r="AU22" s="49">
        <v>500</v>
      </c>
      <c r="AV22" s="71">
        <f>AR22+AS22+AT22+AU22</f>
        <v>2000</v>
      </c>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row>
    <row r="23" spans="1:90" ht="15.75" x14ac:dyDescent="0.25">
      <c r="A23" s="94"/>
      <c r="B23" s="95" t="s">
        <v>89</v>
      </c>
      <c r="C23" s="96"/>
      <c r="D23" s="97"/>
      <c r="E23" s="98">
        <v>2</v>
      </c>
      <c r="F23" s="97">
        <f>SUM(F19:F22)</f>
        <v>18720</v>
      </c>
      <c r="G23" s="97">
        <f>SUM(G19:G22)</f>
        <v>0</v>
      </c>
      <c r="H23" s="97">
        <f>SUM(H19:H22)</f>
        <v>18720</v>
      </c>
      <c r="I23" s="99">
        <v>2</v>
      </c>
      <c r="J23" s="97"/>
      <c r="K23" s="97">
        <f>SUM(K19:K22)</f>
        <v>32340</v>
      </c>
      <c r="L23" s="97">
        <f>SUM(L19:L22)</f>
        <v>0</v>
      </c>
      <c r="M23" s="97">
        <f>SUM(M19:M22)</f>
        <v>32340</v>
      </c>
      <c r="N23" s="100"/>
      <c r="O23" s="97">
        <f>SUM(O19:O22)</f>
        <v>16170</v>
      </c>
      <c r="P23" s="97">
        <f>SUM(P19:P22)</f>
        <v>0</v>
      </c>
      <c r="Q23" s="97">
        <f>SUM(Q19:Q22)</f>
        <v>0</v>
      </c>
      <c r="R23" s="97">
        <f>SUM(R19:R22)</f>
        <v>16170</v>
      </c>
      <c r="S23" s="58">
        <f>O23+P23+Q23+R23</f>
        <v>32340</v>
      </c>
      <c r="T23" s="100"/>
      <c r="U23" s="97"/>
      <c r="V23" s="98">
        <v>4</v>
      </c>
      <c r="W23" s="97">
        <f>SUM(W19:W22)</f>
        <v>37440</v>
      </c>
      <c r="X23" s="97">
        <f>SUM(X19:X22)</f>
        <v>0</v>
      </c>
      <c r="Y23" s="97">
        <f>SUM(Y19:Y22)</f>
        <v>37440</v>
      </c>
      <c r="Z23" s="100"/>
      <c r="AA23" s="75"/>
      <c r="AB23" s="78">
        <v>4</v>
      </c>
      <c r="AC23" s="75">
        <f>SUM(AC19:AC22)</f>
        <v>59680</v>
      </c>
      <c r="AD23" s="75">
        <f>SUM(AD19:AD22)</f>
        <v>0</v>
      </c>
      <c r="AE23" s="75">
        <f>SUM(AE19:AE22)</f>
        <v>59680</v>
      </c>
      <c r="AF23" s="97"/>
      <c r="AG23" s="98">
        <v>3</v>
      </c>
      <c r="AH23" s="97">
        <f>SUM(AH19:AH22)</f>
        <v>28080</v>
      </c>
      <c r="AI23" s="97">
        <f>SUM(AI19:AI22)</f>
        <v>0</v>
      </c>
      <c r="AJ23" s="97">
        <f>SUM(AJ19:AJ22)</f>
        <v>28080</v>
      </c>
      <c r="AK23" s="78">
        <f>AG23+V23+E23</f>
        <v>9</v>
      </c>
      <c r="AL23" s="97">
        <f>SUM(AL19:AL22)</f>
        <v>84240</v>
      </c>
      <c r="AM23" s="97">
        <f>SUM(AM19:AM22)</f>
        <v>0</v>
      </c>
      <c r="AN23" s="97">
        <f>SUM(AN19:AN22)</f>
        <v>84240</v>
      </c>
      <c r="AO23" s="101">
        <f>SUM(AO19:AO22)</f>
        <v>0</v>
      </c>
      <c r="AP23" s="49"/>
      <c r="AQ23" s="79"/>
      <c r="AR23" s="75">
        <f>SUM(AR19:AR22)</f>
        <v>14920</v>
      </c>
      <c r="AS23" s="75">
        <f>SUM(AS19:AS22)</f>
        <v>14920</v>
      </c>
      <c r="AT23" s="75">
        <f>SUM(AT19:AT22)</f>
        <v>14920</v>
      </c>
      <c r="AU23" s="75">
        <f>SUM(AU19:AU22)</f>
        <v>14920</v>
      </c>
      <c r="AV23" s="71">
        <f>AR23+AS23+AT23+AU23</f>
        <v>59680</v>
      </c>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row>
    <row r="24" spans="1:90" ht="31.5" x14ac:dyDescent="0.25">
      <c r="A24" s="80">
        <v>1.5</v>
      </c>
      <c r="B24" s="81" t="s">
        <v>90</v>
      </c>
      <c r="C24" s="89"/>
      <c r="D24" s="65"/>
      <c r="E24" s="65"/>
      <c r="F24" s="65"/>
      <c r="G24" s="65"/>
      <c r="H24" s="65"/>
      <c r="I24" s="65"/>
      <c r="J24" s="65"/>
      <c r="K24" s="65"/>
      <c r="L24" s="65"/>
      <c r="M24" s="65"/>
      <c r="N24" s="77"/>
      <c r="O24" s="65"/>
      <c r="P24" s="65"/>
      <c r="Q24" s="65"/>
      <c r="R24" s="65"/>
      <c r="S24" s="65"/>
      <c r="T24" s="77"/>
      <c r="U24" s="65"/>
      <c r="V24" s="65"/>
      <c r="W24" s="65"/>
      <c r="X24" s="65"/>
      <c r="Y24" s="65"/>
      <c r="Z24" s="77"/>
      <c r="AA24" s="65"/>
      <c r="AB24" s="65"/>
      <c r="AC24" s="65"/>
      <c r="AD24" s="65"/>
      <c r="AE24" s="65"/>
      <c r="AF24" s="65"/>
      <c r="AG24" s="65"/>
      <c r="AH24" s="65"/>
      <c r="AI24" s="65"/>
      <c r="AJ24" s="65"/>
      <c r="AK24" s="65"/>
      <c r="AL24" s="65"/>
      <c r="AM24" s="65"/>
      <c r="AN24" s="65"/>
      <c r="AO24" s="83"/>
      <c r="AP24" s="49"/>
      <c r="AQ24" s="4"/>
      <c r="AR24" s="65"/>
      <c r="AS24" s="65"/>
      <c r="AT24" s="65"/>
      <c r="AU24" s="65"/>
      <c r="AV24" s="65"/>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row>
    <row r="25" spans="1:90" s="3" customFormat="1" ht="51" x14ac:dyDescent="0.25">
      <c r="A25" s="90" t="s">
        <v>91</v>
      </c>
      <c r="B25" s="102" t="s">
        <v>92</v>
      </c>
      <c r="C25" s="91" t="s">
        <v>78</v>
      </c>
      <c r="D25" s="77">
        <v>157320</v>
      </c>
      <c r="E25" s="77">
        <v>0</v>
      </c>
      <c r="F25" s="56">
        <f>D25*E25</f>
        <v>0</v>
      </c>
      <c r="G25" s="77">
        <v>0</v>
      </c>
      <c r="H25" s="56">
        <f>F25+G25</f>
        <v>0</v>
      </c>
      <c r="I25" s="56">
        <v>437</v>
      </c>
      <c r="J25" s="56">
        <v>212.86</v>
      </c>
      <c r="K25" s="103">
        <f>I25*J25</f>
        <v>93019.82</v>
      </c>
      <c r="L25" s="56"/>
      <c r="M25" s="57">
        <f>K25+L25</f>
        <v>93019.82</v>
      </c>
      <c r="N25" s="67"/>
      <c r="O25" s="56"/>
      <c r="P25" s="56">
        <f>M25</f>
        <v>93019.82</v>
      </c>
      <c r="Q25" s="56"/>
      <c r="R25" s="56"/>
      <c r="S25" s="58">
        <f>O25+P25+Q25+R25</f>
        <v>93019.82</v>
      </c>
      <c r="T25" s="67"/>
      <c r="U25" s="77">
        <v>157320</v>
      </c>
      <c r="V25" s="77">
        <v>1</v>
      </c>
      <c r="W25" s="64">
        <f>U25*V25</f>
        <v>157320</v>
      </c>
      <c r="X25" s="77">
        <v>218500</v>
      </c>
      <c r="Y25" s="56">
        <f>W25+X25</f>
        <v>375820</v>
      </c>
      <c r="Z25" s="67"/>
      <c r="AA25" s="56">
        <v>157320</v>
      </c>
      <c r="AB25" s="56">
        <v>1</v>
      </c>
      <c r="AC25" s="56">
        <f>AA25*AB25</f>
        <v>157320</v>
      </c>
      <c r="AD25" s="56">
        <v>218500</v>
      </c>
      <c r="AE25" s="56">
        <f>AC25+AD25</f>
        <v>375820</v>
      </c>
      <c r="AF25" s="77">
        <v>157320</v>
      </c>
      <c r="AG25" s="77">
        <v>0</v>
      </c>
      <c r="AH25" s="64">
        <f>AF25*AG25</f>
        <v>0</v>
      </c>
      <c r="AI25" s="77"/>
      <c r="AJ25" s="56">
        <f>AH25+AI25</f>
        <v>0</v>
      </c>
      <c r="AK25" s="64">
        <f>E25+V25+AG25</f>
        <v>1</v>
      </c>
      <c r="AL25" s="64">
        <f>F25+W25+AH25</f>
        <v>157320</v>
      </c>
      <c r="AM25" s="64">
        <f>G25+X25+AI25</f>
        <v>218500</v>
      </c>
      <c r="AN25" s="57">
        <f>AL25+AM25</f>
        <v>375820</v>
      </c>
      <c r="AO25" s="93"/>
      <c r="AP25" s="104"/>
      <c r="AQ25" s="105"/>
      <c r="AR25" s="104">
        <v>0</v>
      </c>
      <c r="AS25" s="104">
        <v>157320</v>
      </c>
      <c r="AT25" s="104">
        <v>0</v>
      </c>
      <c r="AU25" s="104">
        <v>0</v>
      </c>
      <c r="AV25" s="71">
        <f>AR25+AS25+AT25+AU25</f>
        <v>157320</v>
      </c>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row>
    <row r="26" spans="1:90" ht="15.75" x14ac:dyDescent="0.25">
      <c r="A26" s="94"/>
      <c r="B26" s="95" t="s">
        <v>93</v>
      </c>
      <c r="C26" s="96"/>
      <c r="D26" s="97">
        <f>SUM(D25)</f>
        <v>157320</v>
      </c>
      <c r="E26" s="98">
        <f>SUM(E25)</f>
        <v>0</v>
      </c>
      <c r="F26" s="97">
        <f>SUM(F25)</f>
        <v>0</v>
      </c>
      <c r="G26" s="97">
        <f>SUM(G25)</f>
        <v>0</v>
      </c>
      <c r="H26" s="97">
        <f>SUM(H25)</f>
        <v>0</v>
      </c>
      <c r="I26" s="99">
        <v>1</v>
      </c>
      <c r="J26" s="97"/>
      <c r="K26" s="97">
        <f>SUM(K25)</f>
        <v>93019.82</v>
      </c>
      <c r="L26" s="97">
        <f>SUM(L25)</f>
        <v>0</v>
      </c>
      <c r="M26" s="97">
        <f>SUM(M25)</f>
        <v>93019.82</v>
      </c>
      <c r="N26" s="100"/>
      <c r="O26" s="97">
        <f>SUM(O25)</f>
        <v>0</v>
      </c>
      <c r="P26" s="97">
        <f>SUM(P25)</f>
        <v>93019.82</v>
      </c>
      <c r="Q26" s="97">
        <f>SUM(Q25)</f>
        <v>0</v>
      </c>
      <c r="R26" s="97">
        <f>SUM(R25)</f>
        <v>0</v>
      </c>
      <c r="S26" s="58">
        <f>O26+P26+Q26+R26</f>
        <v>93019.82</v>
      </c>
      <c r="T26" s="100"/>
      <c r="U26" s="97">
        <f>SUM(U25)</f>
        <v>157320</v>
      </c>
      <c r="V26" s="98">
        <f>SUM(V25)</f>
        <v>1</v>
      </c>
      <c r="W26" s="97">
        <f>SUM(W25)</f>
        <v>157320</v>
      </c>
      <c r="X26" s="97">
        <f>SUM(X25)</f>
        <v>218500</v>
      </c>
      <c r="Y26" s="97">
        <f>SUM(Y25)</f>
        <v>375820</v>
      </c>
      <c r="Z26" s="100"/>
      <c r="AA26" s="75"/>
      <c r="AB26" s="78">
        <f t="shared" ref="AB26:AJ26" si="3">SUM(AB25)</f>
        <v>1</v>
      </c>
      <c r="AC26" s="75">
        <f t="shared" si="3"/>
        <v>157320</v>
      </c>
      <c r="AD26" s="75">
        <f t="shared" si="3"/>
        <v>218500</v>
      </c>
      <c r="AE26" s="75">
        <f t="shared" si="3"/>
        <v>375820</v>
      </c>
      <c r="AF26" s="97">
        <f t="shared" si="3"/>
        <v>157320</v>
      </c>
      <c r="AG26" s="98">
        <f t="shared" si="3"/>
        <v>0</v>
      </c>
      <c r="AH26" s="97">
        <f t="shared" si="3"/>
        <v>0</v>
      </c>
      <c r="AI26" s="97">
        <f t="shared" si="3"/>
        <v>0</v>
      </c>
      <c r="AJ26" s="97">
        <f t="shared" si="3"/>
        <v>0</v>
      </c>
      <c r="AK26" s="78">
        <f>AG26+V26+E26</f>
        <v>1</v>
      </c>
      <c r="AL26" s="97">
        <f>SUM(AL25)</f>
        <v>157320</v>
      </c>
      <c r="AM26" s="97">
        <f>SUM(AM25)</f>
        <v>218500</v>
      </c>
      <c r="AN26" s="97">
        <f>SUM(AN25)</f>
        <v>375820</v>
      </c>
      <c r="AO26" s="101">
        <f>SUM(AO25)</f>
        <v>0</v>
      </c>
      <c r="AP26" s="49"/>
      <c r="AQ26" s="79"/>
      <c r="AR26" s="75">
        <f>SUM(AR25)</f>
        <v>0</v>
      </c>
      <c r="AS26" s="75">
        <f>SUM(AS25)</f>
        <v>157320</v>
      </c>
      <c r="AT26" s="75">
        <f>SUM(AT25)</f>
        <v>0</v>
      </c>
      <c r="AU26" s="75">
        <f>SUM(AU25)</f>
        <v>0</v>
      </c>
      <c r="AV26" s="71">
        <f>AR26+AS26+AT26+AU26</f>
        <v>157320</v>
      </c>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row>
    <row r="27" spans="1:90" ht="31.5" x14ac:dyDescent="0.25">
      <c r="A27" s="80">
        <v>1.6</v>
      </c>
      <c r="B27" s="81" t="s">
        <v>94</v>
      </c>
      <c r="C27" s="89"/>
      <c r="D27" s="65"/>
      <c r="E27" s="65"/>
      <c r="F27" s="65"/>
      <c r="G27" s="65"/>
      <c r="H27" s="65"/>
      <c r="I27" s="65"/>
      <c r="J27" s="65"/>
      <c r="K27" s="65"/>
      <c r="L27" s="65"/>
      <c r="M27" s="65"/>
      <c r="N27" s="77"/>
      <c r="O27" s="65"/>
      <c r="P27" s="65"/>
      <c r="Q27" s="65"/>
      <c r="R27" s="65"/>
      <c r="S27" s="65"/>
      <c r="T27" s="77"/>
      <c r="U27" s="65"/>
      <c r="V27" s="65"/>
      <c r="W27" s="65"/>
      <c r="X27" s="65"/>
      <c r="Y27" s="65"/>
      <c r="Z27" s="77"/>
      <c r="AA27" s="65"/>
      <c r="AB27" s="65"/>
      <c r="AC27" s="65"/>
      <c r="AD27" s="65"/>
      <c r="AE27" s="65"/>
      <c r="AF27" s="65"/>
      <c r="AG27" s="65"/>
      <c r="AH27" s="65"/>
      <c r="AI27" s="65"/>
      <c r="AJ27" s="65"/>
      <c r="AK27" s="65"/>
      <c r="AL27" s="65"/>
      <c r="AM27" s="65"/>
      <c r="AN27" s="65"/>
      <c r="AO27" s="83"/>
      <c r="AP27" s="49"/>
      <c r="AQ27" s="4"/>
      <c r="AR27" s="65"/>
      <c r="AS27" s="65"/>
      <c r="AT27" s="65"/>
      <c r="AU27" s="65"/>
      <c r="AV27" s="65"/>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row>
    <row r="28" spans="1:90" s="3" customFormat="1" ht="31.5" customHeight="1" x14ac:dyDescent="0.25">
      <c r="A28" s="90" t="s">
        <v>95</v>
      </c>
      <c r="B28" s="51" t="s">
        <v>96</v>
      </c>
      <c r="C28" s="91" t="s">
        <v>70</v>
      </c>
      <c r="D28" s="64">
        <v>2000</v>
      </c>
      <c r="E28" s="77">
        <v>1</v>
      </c>
      <c r="F28" s="56">
        <f>D28*E28</f>
        <v>2000</v>
      </c>
      <c r="G28" s="77"/>
      <c r="H28" s="56">
        <f>F28+G28</f>
        <v>2000</v>
      </c>
      <c r="I28" s="56"/>
      <c r="J28" s="56"/>
      <c r="K28" s="56">
        <f>I28*J28</f>
        <v>0</v>
      </c>
      <c r="L28" s="56"/>
      <c r="M28" s="57">
        <f>K28+L28</f>
        <v>0</v>
      </c>
      <c r="N28" s="67"/>
      <c r="O28" s="56"/>
      <c r="P28" s="56"/>
      <c r="Q28" s="56"/>
      <c r="R28" s="56"/>
      <c r="S28" s="58">
        <f>O28+P28+Q28+R28</f>
        <v>0</v>
      </c>
      <c r="T28" s="67"/>
      <c r="U28" s="77">
        <v>2000</v>
      </c>
      <c r="V28" s="77">
        <v>1</v>
      </c>
      <c r="W28" s="64">
        <f>U28*V28</f>
        <v>2000</v>
      </c>
      <c r="X28" s="77"/>
      <c r="Y28" s="56">
        <f>W28+X28</f>
        <v>2000</v>
      </c>
      <c r="Z28" s="67"/>
      <c r="AA28" s="64"/>
      <c r="AB28" s="64"/>
      <c r="AC28" s="64"/>
      <c r="AD28" s="64"/>
      <c r="AE28" s="56"/>
      <c r="AF28" s="106">
        <v>2000</v>
      </c>
      <c r="AG28" s="77">
        <v>1</v>
      </c>
      <c r="AH28" s="64">
        <f>AF28*AG28</f>
        <v>2000</v>
      </c>
      <c r="AI28" s="77"/>
      <c r="AJ28" s="56">
        <f>AH28+AI28</f>
        <v>2000</v>
      </c>
      <c r="AK28" s="64">
        <f t="shared" ref="AK28:AM31" si="4">E28+V28+AG28</f>
        <v>3</v>
      </c>
      <c r="AL28" s="64">
        <f t="shared" si="4"/>
        <v>6000</v>
      </c>
      <c r="AM28" s="64">
        <f t="shared" si="4"/>
        <v>0</v>
      </c>
      <c r="AN28" s="57">
        <f>AL28+AM28</f>
        <v>6000</v>
      </c>
      <c r="AO28" s="107" t="s">
        <v>97</v>
      </c>
      <c r="AP28" s="596" t="s">
        <v>98</v>
      </c>
      <c r="AQ28" s="105"/>
      <c r="AR28" s="104"/>
      <c r="AS28" s="104"/>
      <c r="AT28" s="104"/>
      <c r="AU28" s="104"/>
      <c r="AV28" s="71">
        <f t="shared" ref="AV28:AV33" si="5">AR28+AS28+AT28+AU28</f>
        <v>0</v>
      </c>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row>
    <row r="29" spans="1:90" s="3" customFormat="1" ht="25.5" x14ac:dyDescent="0.25">
      <c r="A29" s="90" t="s">
        <v>99</v>
      </c>
      <c r="B29" s="84" t="s">
        <v>100</v>
      </c>
      <c r="C29" s="91" t="s">
        <v>70</v>
      </c>
      <c r="D29" s="77">
        <v>8400</v>
      </c>
      <c r="E29" s="77">
        <v>1</v>
      </c>
      <c r="F29" s="56">
        <f>D29*E29</f>
        <v>8400</v>
      </c>
      <c r="G29" s="77"/>
      <c r="H29" s="56">
        <f>F29+G29</f>
        <v>8400</v>
      </c>
      <c r="I29" s="56"/>
      <c r="J29" s="56"/>
      <c r="K29" s="56">
        <f>I29*J29</f>
        <v>0</v>
      </c>
      <c r="L29" s="56"/>
      <c r="M29" s="57">
        <f>K29+L29</f>
        <v>0</v>
      </c>
      <c r="N29" s="67"/>
      <c r="O29" s="56"/>
      <c r="P29" s="56"/>
      <c r="Q29" s="56"/>
      <c r="R29" s="56"/>
      <c r="S29" s="58">
        <f>O29+P29+Q29+R29</f>
        <v>0</v>
      </c>
      <c r="T29" s="67"/>
      <c r="U29" s="77">
        <v>15400</v>
      </c>
      <c r="V29" s="77">
        <v>1</v>
      </c>
      <c r="W29" s="64">
        <f>U29*V29</f>
        <v>15400</v>
      </c>
      <c r="X29" s="77"/>
      <c r="Y29" s="56">
        <f>W29+X29</f>
        <v>15400</v>
      </c>
      <c r="Z29" s="67"/>
      <c r="AA29" s="64"/>
      <c r="AB29" s="64"/>
      <c r="AC29" s="64"/>
      <c r="AD29" s="64"/>
      <c r="AE29" s="56"/>
      <c r="AF29" s="108">
        <v>16800</v>
      </c>
      <c r="AG29" s="77">
        <v>1</v>
      </c>
      <c r="AH29" s="64">
        <f>AF29*AG29</f>
        <v>16800</v>
      </c>
      <c r="AI29" s="77"/>
      <c r="AJ29" s="56">
        <f>AH29+AI29</f>
        <v>16800</v>
      </c>
      <c r="AK29" s="64">
        <f t="shared" si="4"/>
        <v>3</v>
      </c>
      <c r="AL29" s="64">
        <f t="shared" si="4"/>
        <v>40600</v>
      </c>
      <c r="AM29" s="64">
        <f t="shared" si="4"/>
        <v>0</v>
      </c>
      <c r="AN29" s="57">
        <f>AL29+AM29</f>
        <v>40600</v>
      </c>
      <c r="AO29" s="93"/>
      <c r="AP29" s="596"/>
      <c r="AQ29" s="105"/>
      <c r="AR29" s="104"/>
      <c r="AS29" s="104"/>
      <c r="AT29" s="104"/>
      <c r="AU29" s="104"/>
      <c r="AV29" s="71">
        <f t="shared" si="5"/>
        <v>0</v>
      </c>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row>
    <row r="30" spans="1:90" s="3" customFormat="1" ht="38.25" x14ac:dyDescent="0.25">
      <c r="A30" s="90" t="s">
        <v>101</v>
      </c>
      <c r="B30" s="51" t="s">
        <v>102</v>
      </c>
      <c r="C30" s="91" t="s">
        <v>74</v>
      </c>
      <c r="D30" s="77">
        <v>25000</v>
      </c>
      <c r="E30" s="77">
        <v>1</v>
      </c>
      <c r="F30" s="56">
        <f>D30*E30</f>
        <v>25000</v>
      </c>
      <c r="G30" s="77"/>
      <c r="H30" s="56">
        <f>F30+G30</f>
        <v>25000</v>
      </c>
      <c r="I30" s="56"/>
      <c r="J30" s="56"/>
      <c r="K30" s="56">
        <f>I30*J30</f>
        <v>0</v>
      </c>
      <c r="L30" s="56"/>
      <c r="M30" s="57">
        <f>K30+L30</f>
        <v>0</v>
      </c>
      <c r="N30" s="67"/>
      <c r="O30" s="56"/>
      <c r="P30" s="56"/>
      <c r="Q30" s="56"/>
      <c r="R30" s="56"/>
      <c r="S30" s="58">
        <f>O30+P30+Q30+R30</f>
        <v>0</v>
      </c>
      <c r="T30" s="67"/>
      <c r="U30" s="77">
        <v>52000</v>
      </c>
      <c r="V30" s="77">
        <v>1</v>
      </c>
      <c r="W30" s="64">
        <f>U30*V30</f>
        <v>52000</v>
      </c>
      <c r="X30" s="77"/>
      <c r="Y30" s="56">
        <f>W30+X30</f>
        <v>52000</v>
      </c>
      <c r="Z30" s="67"/>
      <c r="AA30" s="64"/>
      <c r="AB30" s="64"/>
      <c r="AC30" s="64"/>
      <c r="AD30" s="64"/>
      <c r="AE30" s="56"/>
      <c r="AF30" s="77">
        <v>35000</v>
      </c>
      <c r="AG30" s="77">
        <v>1</v>
      </c>
      <c r="AH30" s="64">
        <f>AF30*AG30</f>
        <v>35000</v>
      </c>
      <c r="AI30" s="77"/>
      <c r="AJ30" s="56">
        <f>AH30+AI30</f>
        <v>35000</v>
      </c>
      <c r="AK30" s="64">
        <f t="shared" si="4"/>
        <v>3</v>
      </c>
      <c r="AL30" s="64">
        <f t="shared" si="4"/>
        <v>112000</v>
      </c>
      <c r="AM30" s="64">
        <f t="shared" si="4"/>
        <v>0</v>
      </c>
      <c r="AN30" s="57">
        <f>AL30+AM30</f>
        <v>112000</v>
      </c>
      <c r="AO30" s="93"/>
      <c r="AP30" s="596"/>
      <c r="AQ30" s="105"/>
      <c r="AR30" s="104"/>
      <c r="AS30" s="104"/>
      <c r="AT30" s="104"/>
      <c r="AU30" s="104"/>
      <c r="AV30" s="71">
        <f t="shared" si="5"/>
        <v>0</v>
      </c>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row>
    <row r="31" spans="1:90" s="3" customFormat="1" ht="25.5" x14ac:dyDescent="0.25">
      <c r="A31" s="90" t="s">
        <v>103</v>
      </c>
      <c r="B31" s="51" t="s">
        <v>104</v>
      </c>
      <c r="C31" s="91" t="s">
        <v>78</v>
      </c>
      <c r="D31" s="77">
        <v>500</v>
      </c>
      <c r="E31" s="77">
        <v>1</v>
      </c>
      <c r="F31" s="56">
        <f>D31*E31</f>
        <v>500</v>
      </c>
      <c r="G31" s="77"/>
      <c r="H31" s="56">
        <f>F31+G31</f>
        <v>500</v>
      </c>
      <c r="I31" s="56"/>
      <c r="J31" s="56"/>
      <c r="K31" s="56">
        <f>I31*J31</f>
        <v>0</v>
      </c>
      <c r="L31" s="56"/>
      <c r="M31" s="57">
        <f>K31+L31</f>
        <v>0</v>
      </c>
      <c r="N31" s="67"/>
      <c r="O31" s="56"/>
      <c r="P31" s="56"/>
      <c r="Q31" s="56"/>
      <c r="R31" s="56"/>
      <c r="S31" s="58">
        <f>O31+P31+Q31+R31</f>
        <v>0</v>
      </c>
      <c r="T31" s="67"/>
      <c r="U31" s="108">
        <v>1000</v>
      </c>
      <c r="V31" s="77">
        <v>1</v>
      </c>
      <c r="W31" s="64">
        <f>U31*V31</f>
        <v>1000</v>
      </c>
      <c r="X31" s="77"/>
      <c r="Y31" s="56">
        <f>W31+X31</f>
        <v>1000</v>
      </c>
      <c r="Z31" s="67"/>
      <c r="AA31" s="109"/>
      <c r="AB31" s="64"/>
      <c r="AC31" s="64"/>
      <c r="AD31" s="64"/>
      <c r="AE31" s="56"/>
      <c r="AF31" s="108">
        <v>1000</v>
      </c>
      <c r="AG31" s="77">
        <v>1</v>
      </c>
      <c r="AH31" s="64">
        <f>AF31*AG31</f>
        <v>1000</v>
      </c>
      <c r="AI31" s="77"/>
      <c r="AJ31" s="56">
        <f>AH31+AI31</f>
        <v>1000</v>
      </c>
      <c r="AK31" s="64">
        <f t="shared" si="4"/>
        <v>3</v>
      </c>
      <c r="AL31" s="64">
        <f t="shared" si="4"/>
        <v>2500</v>
      </c>
      <c r="AM31" s="64">
        <f t="shared" si="4"/>
        <v>0</v>
      </c>
      <c r="AN31" s="57">
        <f>AL31+AM31</f>
        <v>2500</v>
      </c>
      <c r="AO31" s="93"/>
      <c r="AP31" s="596"/>
      <c r="AQ31" s="105"/>
      <c r="AR31" s="104"/>
      <c r="AS31" s="104"/>
      <c r="AT31" s="104"/>
      <c r="AU31" s="104"/>
      <c r="AV31" s="71">
        <f t="shared" si="5"/>
        <v>0</v>
      </c>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row>
    <row r="32" spans="1:90" ht="15.75" x14ac:dyDescent="0.25">
      <c r="A32" s="94"/>
      <c r="B32" s="95" t="s">
        <v>105</v>
      </c>
      <c r="C32" s="96"/>
      <c r="D32" s="97">
        <f>SUM(D28:D31)</f>
        <v>35900</v>
      </c>
      <c r="E32" s="98">
        <v>1</v>
      </c>
      <c r="F32" s="97">
        <f>SUM(F28:F31)</f>
        <v>35900</v>
      </c>
      <c r="G32" s="97">
        <f>SUM(G28:G31)</f>
        <v>0</v>
      </c>
      <c r="H32" s="97">
        <f>SUM(H28:H31)</f>
        <v>35900</v>
      </c>
      <c r="I32" s="99">
        <v>0</v>
      </c>
      <c r="J32" s="97"/>
      <c r="K32" s="110">
        <f>SUM(K28:K31)</f>
        <v>0</v>
      </c>
      <c r="L32" s="97">
        <f>SUM(L28:L31)</f>
        <v>0</v>
      </c>
      <c r="M32" s="97">
        <f>SUM(M28:M31)</f>
        <v>0</v>
      </c>
      <c r="N32" s="100"/>
      <c r="O32" s="97">
        <f>SUM(O28:O31)</f>
        <v>0</v>
      </c>
      <c r="P32" s="97">
        <f>SUM(P28:P31)</f>
        <v>0</v>
      </c>
      <c r="Q32" s="97">
        <f>SUM(Q28:Q31)</f>
        <v>0</v>
      </c>
      <c r="R32" s="97">
        <f>SUM(R28:R31)</f>
        <v>0</v>
      </c>
      <c r="S32" s="58">
        <f>O32+P32+Q32+R32</f>
        <v>0</v>
      </c>
      <c r="T32" s="100"/>
      <c r="U32" s="97">
        <f>SUM(U28:U31)</f>
        <v>70400</v>
      </c>
      <c r="V32" s="98">
        <v>1</v>
      </c>
      <c r="W32" s="97">
        <f>SUM(W28:W31)</f>
        <v>70400</v>
      </c>
      <c r="X32" s="97">
        <f>SUM(X28:X31)</f>
        <v>0</v>
      </c>
      <c r="Y32" s="97">
        <f>SUM(Y28:Y31)</f>
        <v>70400</v>
      </c>
      <c r="Z32" s="100"/>
      <c r="AA32" s="97">
        <f t="shared" ref="AA32:AF32" si="6">SUM(AA28:AA31)</f>
        <v>0</v>
      </c>
      <c r="AB32" s="97">
        <f t="shared" si="6"/>
        <v>0</v>
      </c>
      <c r="AC32" s="97">
        <f t="shared" si="6"/>
        <v>0</v>
      </c>
      <c r="AD32" s="97">
        <f t="shared" si="6"/>
        <v>0</v>
      </c>
      <c r="AE32" s="97">
        <f t="shared" si="6"/>
        <v>0</v>
      </c>
      <c r="AF32" s="97">
        <f t="shared" si="6"/>
        <v>54800</v>
      </c>
      <c r="AG32" s="98">
        <v>1</v>
      </c>
      <c r="AH32" s="97">
        <f>SUM(AH28:AH31)</f>
        <v>54800</v>
      </c>
      <c r="AI32" s="97">
        <f>SUM(AI28:AI31)</f>
        <v>0</v>
      </c>
      <c r="AJ32" s="97">
        <f>SUM(AJ28:AJ31)</f>
        <v>54800</v>
      </c>
      <c r="AK32" s="78">
        <f>AG32+V32+E32</f>
        <v>3</v>
      </c>
      <c r="AL32" s="97">
        <f>SUM(AL28:AL31)</f>
        <v>161100</v>
      </c>
      <c r="AM32" s="97">
        <f>SUM(AM28:AM31)</f>
        <v>0</v>
      </c>
      <c r="AN32" s="97">
        <f>SUM(AN28:AN31)</f>
        <v>161100</v>
      </c>
      <c r="AO32" s="101">
        <f>SUM(AO28:AO31)</f>
        <v>0</v>
      </c>
      <c r="AP32" s="49"/>
      <c r="AQ32" s="4"/>
      <c r="AR32" s="97">
        <f>SUM(AR28:AR31)</f>
        <v>0</v>
      </c>
      <c r="AS32" s="97">
        <f>SUM(AS28:AS31)</f>
        <v>0</v>
      </c>
      <c r="AT32" s="97">
        <f>SUM(AT28:AT31)</f>
        <v>0</v>
      </c>
      <c r="AU32" s="97">
        <f>SUM(AU28:AU31)</f>
        <v>0</v>
      </c>
      <c r="AV32" s="71">
        <f t="shared" si="5"/>
        <v>0</v>
      </c>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row>
    <row r="33" spans="1:90" ht="15.75" x14ac:dyDescent="0.25">
      <c r="A33" s="111"/>
      <c r="B33" s="112" t="s">
        <v>106</v>
      </c>
      <c r="C33" s="113"/>
      <c r="D33" s="114">
        <f>SUM(D11+D17+D23+D26+D32)</f>
        <v>209240</v>
      </c>
      <c r="E33" s="114">
        <f>SUM(E11+E17+E23+E26+E32)</f>
        <v>18</v>
      </c>
      <c r="F33" s="114">
        <f>SUM(F11+F17+F23+F26+F32)</f>
        <v>158620</v>
      </c>
      <c r="G33" s="114">
        <f>SUM(G11+G17+G23+G26+G32)</f>
        <v>0</v>
      </c>
      <c r="H33" s="114">
        <f>SUM(H11+H17+H23+H26+H32)</f>
        <v>158620</v>
      </c>
      <c r="I33" s="114"/>
      <c r="J33" s="114"/>
      <c r="K33" s="114">
        <f>SUM(K11+K17+K23+K26+K32)</f>
        <v>232929.82</v>
      </c>
      <c r="L33" s="114">
        <f>SUM(L11+L17+L23+L26+L32)</f>
        <v>0</v>
      </c>
      <c r="M33" s="114">
        <f>SUM(M11+M17+M23+M26+M32)</f>
        <v>232929.82</v>
      </c>
      <c r="N33" s="100"/>
      <c r="O33" s="114">
        <f>SUM(O11+O17+O23+O26+O32)</f>
        <v>63935</v>
      </c>
      <c r="P33" s="114">
        <f>SUM(P11+P17+P23+P26+P32)</f>
        <v>112954.82</v>
      </c>
      <c r="Q33" s="114">
        <f>SUM(Q11+Q17+Q23+Q26+Q32)</f>
        <v>19935</v>
      </c>
      <c r="R33" s="114">
        <f>SUM(R11+R17+R23+R26+R32)</f>
        <v>36105</v>
      </c>
      <c r="S33" s="114">
        <f>SUM(S11+S17+S23+S26+S32)</f>
        <v>232929.82</v>
      </c>
      <c r="T33" s="100"/>
      <c r="U33" s="114">
        <f>SUM(U11+U17+U23+U26+U32)</f>
        <v>243740</v>
      </c>
      <c r="V33" s="114">
        <f>SUM(V11+V17+V23+V26+V32)</f>
        <v>22</v>
      </c>
      <c r="W33" s="114">
        <f>SUM(W11+W17+W23+W26+W32)</f>
        <v>376520</v>
      </c>
      <c r="X33" s="114">
        <f>SUM(X11+X17+X23+X26+X32)</f>
        <v>218500</v>
      </c>
      <c r="Y33" s="114">
        <f>SUM(Y11+Y17+Y23+Y26+Y32)</f>
        <v>595020</v>
      </c>
      <c r="Z33" s="100"/>
      <c r="AA33" s="114"/>
      <c r="AB33" s="114"/>
      <c r="AC33" s="114">
        <f t="shared" ref="AC33:AJ33" si="7">SUM(AC11+AC17+AC23+AC26+AC32)</f>
        <v>333400</v>
      </c>
      <c r="AD33" s="114">
        <f t="shared" si="7"/>
        <v>218500</v>
      </c>
      <c r="AE33" s="114">
        <f t="shared" si="7"/>
        <v>551900</v>
      </c>
      <c r="AF33" s="114">
        <f t="shared" si="7"/>
        <v>228140</v>
      </c>
      <c r="AG33" s="114">
        <f t="shared" si="7"/>
        <v>19</v>
      </c>
      <c r="AH33" s="114">
        <f t="shared" si="7"/>
        <v>186880</v>
      </c>
      <c r="AI33" s="114">
        <f t="shared" si="7"/>
        <v>0</v>
      </c>
      <c r="AJ33" s="114">
        <f t="shared" si="7"/>
        <v>186880</v>
      </c>
      <c r="AK33" s="114"/>
      <c r="AL33" s="114">
        <f>SUM(AL11+AL17+AL23+AL26+AL32)</f>
        <v>722020</v>
      </c>
      <c r="AM33" s="114">
        <f>SUM(AM11+AM17+AM23+AM26+AM32)</f>
        <v>218500</v>
      </c>
      <c r="AN33" s="114">
        <f>SUM(AN11+AN17+AN23+AN26+AN32)</f>
        <v>940520</v>
      </c>
      <c r="AO33" s="115">
        <f>SUM(AO11+AQ17+AO23+AO26+AO32)</f>
        <v>0</v>
      </c>
      <c r="AP33" s="71">
        <f>AC33+AD33</f>
        <v>551900</v>
      </c>
      <c r="AQ33" s="115">
        <f>SUM(AQ11+AQ17+AQ23+AQ26+AQ32)</f>
        <v>0</v>
      </c>
      <c r="AR33" s="114">
        <f>SUM(AR11+AR17+AR23+AR26+AR32)</f>
        <v>45520</v>
      </c>
      <c r="AS33" s="114">
        <f>SUM(AS11+AS17+AS23+AS26+AS32)</f>
        <v>200840</v>
      </c>
      <c r="AT33" s="114">
        <f>SUM(AT11+AT17+AT23+AT26+AT32)</f>
        <v>43520</v>
      </c>
      <c r="AU33" s="114">
        <f>SUM(AU11+AU17+AU23+AU26+AU32)</f>
        <v>43520</v>
      </c>
      <c r="AV33" s="71">
        <f t="shared" si="5"/>
        <v>333400</v>
      </c>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row>
    <row r="34" spans="1:90" ht="15.75" x14ac:dyDescent="0.25">
      <c r="A34" s="116"/>
      <c r="B34" s="117" t="s">
        <v>107</v>
      </c>
      <c r="C34" s="118"/>
      <c r="D34" s="119"/>
      <c r="E34" s="119"/>
      <c r="F34" s="119"/>
      <c r="G34" s="119"/>
      <c r="H34" s="119"/>
      <c r="I34" s="119"/>
      <c r="J34" s="119"/>
      <c r="K34" s="119"/>
      <c r="L34" s="119"/>
      <c r="M34" s="119"/>
      <c r="N34" s="100"/>
      <c r="O34" s="119"/>
      <c r="P34" s="119"/>
      <c r="Q34" s="119"/>
      <c r="R34" s="119"/>
      <c r="S34" s="119"/>
      <c r="T34" s="100"/>
      <c r="U34" s="119"/>
      <c r="V34" s="119"/>
      <c r="W34" s="119"/>
      <c r="X34" s="119"/>
      <c r="Y34" s="119"/>
      <c r="Z34" s="100"/>
      <c r="AA34" s="119"/>
      <c r="AB34" s="119"/>
      <c r="AC34" s="119"/>
      <c r="AD34" s="119"/>
      <c r="AE34" s="119"/>
      <c r="AF34" s="119"/>
      <c r="AG34" s="119"/>
      <c r="AH34" s="119"/>
      <c r="AI34" s="119"/>
      <c r="AJ34" s="119"/>
      <c r="AK34" s="119"/>
      <c r="AL34" s="119"/>
      <c r="AM34" s="119"/>
      <c r="AN34" s="119"/>
      <c r="AO34" s="120"/>
      <c r="AP34" s="49"/>
      <c r="AQ34" s="4"/>
      <c r="AR34" s="119"/>
      <c r="AS34" s="119"/>
      <c r="AT34" s="119"/>
      <c r="AU34" s="119"/>
      <c r="AV34" s="119"/>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row>
    <row r="35" spans="1:90" ht="157.5" x14ac:dyDescent="0.25">
      <c r="A35" s="80">
        <v>2.1</v>
      </c>
      <c r="B35" s="81" t="s">
        <v>108</v>
      </c>
      <c r="C35" s="121"/>
      <c r="D35" s="122"/>
      <c r="E35" s="122"/>
      <c r="F35" s="122"/>
      <c r="G35" s="122"/>
      <c r="H35" s="122"/>
      <c r="I35" s="122"/>
      <c r="J35" s="122"/>
      <c r="K35" s="122"/>
      <c r="L35" s="122"/>
      <c r="M35" s="122"/>
      <c r="N35" s="100"/>
      <c r="O35" s="122"/>
      <c r="P35" s="122"/>
      <c r="Q35" s="122"/>
      <c r="R35" s="122"/>
      <c r="S35" s="122"/>
      <c r="T35" s="100"/>
      <c r="U35" s="122"/>
      <c r="V35" s="122"/>
      <c r="W35" s="122"/>
      <c r="X35" s="122"/>
      <c r="Y35" s="122"/>
      <c r="Z35" s="100"/>
      <c r="AA35" s="122"/>
      <c r="AB35" s="122"/>
      <c r="AC35" s="122"/>
      <c r="AD35" s="122"/>
      <c r="AE35" s="122"/>
      <c r="AF35" s="122"/>
      <c r="AG35" s="122"/>
      <c r="AH35" s="122"/>
      <c r="AI35" s="122"/>
      <c r="AJ35" s="122"/>
      <c r="AK35" s="122"/>
      <c r="AL35" s="122"/>
      <c r="AM35" s="122"/>
      <c r="AN35" s="122"/>
      <c r="AO35" s="123"/>
      <c r="AP35" s="49"/>
      <c r="AQ35" s="4"/>
      <c r="AR35" s="65"/>
      <c r="AS35" s="65"/>
      <c r="AT35" s="65"/>
      <c r="AU35" s="65"/>
      <c r="AV35" s="65"/>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row>
    <row r="36" spans="1:90" ht="25.5" x14ac:dyDescent="0.25">
      <c r="A36" s="124" t="s">
        <v>109</v>
      </c>
      <c r="B36" s="51" t="s">
        <v>110</v>
      </c>
      <c r="C36" s="91" t="s">
        <v>62</v>
      </c>
      <c r="D36" s="125">
        <v>2000</v>
      </c>
      <c r="E36" s="125">
        <v>2</v>
      </c>
      <c r="F36" s="56">
        <f>D36*E36</f>
        <v>4000</v>
      </c>
      <c r="G36" s="125"/>
      <c r="H36" s="56">
        <f>F36+G36</f>
        <v>4000</v>
      </c>
      <c r="I36" s="56">
        <v>2</v>
      </c>
      <c r="J36" s="56">
        <v>2000</v>
      </c>
      <c r="K36" s="56">
        <f>I36*J36</f>
        <v>4000</v>
      </c>
      <c r="L36" s="56"/>
      <c r="M36" s="57">
        <f>K36+L36</f>
        <v>4000</v>
      </c>
      <c r="N36" s="67"/>
      <c r="O36" s="56"/>
      <c r="P36" s="56"/>
      <c r="Q36" s="56">
        <f>M36/2</f>
        <v>2000</v>
      </c>
      <c r="R36" s="56">
        <v>2000</v>
      </c>
      <c r="S36" s="58">
        <f>O36+P36+Q36+R36</f>
        <v>4000</v>
      </c>
      <c r="T36" s="67"/>
      <c r="U36" s="56">
        <v>2000</v>
      </c>
      <c r="V36" s="125">
        <v>4</v>
      </c>
      <c r="W36" s="64">
        <f>U36*V36</f>
        <v>8000</v>
      </c>
      <c r="X36" s="125"/>
      <c r="Y36" s="56">
        <f>W36+X36</f>
        <v>8000</v>
      </c>
      <c r="Z36" s="67"/>
      <c r="AA36" s="56">
        <v>2000</v>
      </c>
      <c r="AB36" s="56">
        <v>4</v>
      </c>
      <c r="AC36" s="56">
        <f>AA36*AB36</f>
        <v>8000</v>
      </c>
      <c r="AD36" s="56"/>
      <c r="AE36" s="56">
        <f>AC36+AD36</f>
        <v>8000</v>
      </c>
      <c r="AF36" s="56">
        <v>2000</v>
      </c>
      <c r="AG36" s="125">
        <v>3</v>
      </c>
      <c r="AH36" s="64">
        <f>AF36*AG36</f>
        <v>6000</v>
      </c>
      <c r="AI36" s="125"/>
      <c r="AJ36" s="56">
        <f>AH36+AI36</f>
        <v>6000</v>
      </c>
      <c r="AK36" s="64">
        <f t="shared" ref="AK36:AM39" si="8">E36+V36+AG36</f>
        <v>9</v>
      </c>
      <c r="AL36" s="64">
        <f t="shared" si="8"/>
        <v>18000</v>
      </c>
      <c r="AM36" s="64">
        <f t="shared" si="8"/>
        <v>0</v>
      </c>
      <c r="AN36" s="57">
        <f>AL36+AM36</f>
        <v>18000</v>
      </c>
      <c r="AO36" s="126"/>
      <c r="AP36" s="49"/>
      <c r="AQ36" s="4"/>
      <c r="AR36" s="49">
        <v>2000</v>
      </c>
      <c r="AS36" s="49">
        <v>2000</v>
      </c>
      <c r="AT36" s="49">
        <v>2000</v>
      </c>
      <c r="AU36" s="49">
        <v>2000</v>
      </c>
      <c r="AV36" s="71">
        <f>AR36+AS36+AT36+AU36</f>
        <v>8000</v>
      </c>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row>
    <row r="37" spans="1:90" ht="38.25" x14ac:dyDescent="0.25">
      <c r="A37" s="124" t="s">
        <v>111</v>
      </c>
      <c r="B37" s="51" t="s">
        <v>112</v>
      </c>
      <c r="C37" s="91" t="s">
        <v>70</v>
      </c>
      <c r="D37" s="125">
        <v>3360</v>
      </c>
      <c r="E37" s="125">
        <v>2</v>
      </c>
      <c r="F37" s="56">
        <f>D37*E37</f>
        <v>6720</v>
      </c>
      <c r="G37" s="125"/>
      <c r="H37" s="56">
        <f>F37+G37</f>
        <v>6720</v>
      </c>
      <c r="I37" s="56">
        <f>2*41</f>
        <v>82</v>
      </c>
      <c r="J37" s="56">
        <v>120</v>
      </c>
      <c r="K37" s="56">
        <f>I37*J37</f>
        <v>9840</v>
      </c>
      <c r="L37" s="56"/>
      <c r="M37" s="57">
        <f>K37+L37</f>
        <v>9840</v>
      </c>
      <c r="N37" s="67"/>
      <c r="O37" s="56"/>
      <c r="P37" s="56"/>
      <c r="Q37" s="56">
        <f>M37/2</f>
        <v>4920</v>
      </c>
      <c r="R37" s="56">
        <v>4920</v>
      </c>
      <c r="S37" s="58">
        <f>O37+P37+Q37+R37</f>
        <v>9840</v>
      </c>
      <c r="T37" s="67"/>
      <c r="U37" s="56">
        <v>3360</v>
      </c>
      <c r="V37" s="125">
        <v>4</v>
      </c>
      <c r="W37" s="64">
        <f>U37*V37</f>
        <v>13440</v>
      </c>
      <c r="X37" s="125"/>
      <c r="Y37" s="56">
        <f>W37+X37</f>
        <v>13440</v>
      </c>
      <c r="Z37" s="67"/>
      <c r="AA37" s="56">
        <v>4920</v>
      </c>
      <c r="AB37" s="56">
        <v>4</v>
      </c>
      <c r="AC37" s="56">
        <f>AA37*AB37</f>
        <v>19680</v>
      </c>
      <c r="AD37" s="56"/>
      <c r="AE37" s="56">
        <f>AC37+AD37</f>
        <v>19680</v>
      </c>
      <c r="AF37" s="56">
        <v>3360</v>
      </c>
      <c r="AG37" s="125">
        <v>3</v>
      </c>
      <c r="AH37" s="64">
        <f>AF37*AG37</f>
        <v>10080</v>
      </c>
      <c r="AI37" s="125"/>
      <c r="AJ37" s="56">
        <f>AH37+AI37</f>
        <v>10080</v>
      </c>
      <c r="AK37" s="64">
        <f t="shared" si="8"/>
        <v>9</v>
      </c>
      <c r="AL37" s="64">
        <f t="shared" si="8"/>
        <v>30240</v>
      </c>
      <c r="AM37" s="64">
        <f t="shared" si="8"/>
        <v>0</v>
      </c>
      <c r="AN37" s="57">
        <f>AL37+AM37</f>
        <v>30240</v>
      </c>
      <c r="AO37" s="126"/>
      <c r="AP37" s="49" t="s">
        <v>71</v>
      </c>
      <c r="AQ37" s="4"/>
      <c r="AR37" s="49">
        <v>4920</v>
      </c>
      <c r="AS37" s="49">
        <v>4920</v>
      </c>
      <c r="AT37" s="49">
        <v>4920</v>
      </c>
      <c r="AU37" s="49">
        <v>4920</v>
      </c>
      <c r="AV37" s="71">
        <f>AR37+AS37+AT37+AU37</f>
        <v>19680</v>
      </c>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row>
    <row r="38" spans="1:90" ht="51" x14ac:dyDescent="0.25">
      <c r="A38" s="124" t="s">
        <v>113</v>
      </c>
      <c r="B38" s="51" t="s">
        <v>114</v>
      </c>
      <c r="C38" s="91" t="s">
        <v>74</v>
      </c>
      <c r="D38" s="125">
        <v>3500</v>
      </c>
      <c r="E38" s="125">
        <v>2</v>
      </c>
      <c r="F38" s="56">
        <f>D38*E38</f>
        <v>7000</v>
      </c>
      <c r="G38" s="125"/>
      <c r="H38" s="56">
        <f>F38+G38</f>
        <v>7000</v>
      </c>
      <c r="I38" s="56">
        <v>2</v>
      </c>
      <c r="J38" s="56">
        <f>2*2500</f>
        <v>5000</v>
      </c>
      <c r="K38" s="56">
        <f>I38*J38</f>
        <v>10000</v>
      </c>
      <c r="L38" s="56"/>
      <c r="M38" s="57">
        <f>K38+L38</f>
        <v>10000</v>
      </c>
      <c r="N38" s="67"/>
      <c r="O38" s="56"/>
      <c r="P38" s="56"/>
      <c r="Q38" s="56">
        <f>M38/2</f>
        <v>5000</v>
      </c>
      <c r="R38" s="56">
        <v>5000</v>
      </c>
      <c r="S38" s="58">
        <f>O38+P38+Q38+R38</f>
        <v>10000</v>
      </c>
      <c r="T38" s="67"/>
      <c r="U38" s="125">
        <v>3500</v>
      </c>
      <c r="V38" s="125">
        <v>4</v>
      </c>
      <c r="W38" s="64">
        <f>U38*V38</f>
        <v>14000</v>
      </c>
      <c r="X38" s="125"/>
      <c r="Y38" s="56">
        <f>W38+X38</f>
        <v>14000</v>
      </c>
      <c r="Z38" s="67"/>
      <c r="AA38" s="56">
        <v>2500</v>
      </c>
      <c r="AB38" s="67">
        <v>8</v>
      </c>
      <c r="AC38" s="56">
        <f>AA38*AB38</f>
        <v>20000</v>
      </c>
      <c r="AD38" s="56"/>
      <c r="AE38" s="56">
        <f>AC38+AD38</f>
        <v>20000</v>
      </c>
      <c r="AF38" s="125">
        <v>3500</v>
      </c>
      <c r="AG38" s="125">
        <v>3</v>
      </c>
      <c r="AH38" s="64">
        <f>AF38*AG38</f>
        <v>10500</v>
      </c>
      <c r="AI38" s="125"/>
      <c r="AJ38" s="56">
        <f>AH38+AI38</f>
        <v>10500</v>
      </c>
      <c r="AK38" s="64">
        <f t="shared" si="8"/>
        <v>9</v>
      </c>
      <c r="AL38" s="64">
        <f t="shared" si="8"/>
        <v>31500</v>
      </c>
      <c r="AM38" s="64">
        <f t="shared" si="8"/>
        <v>0</v>
      </c>
      <c r="AN38" s="57">
        <f>AL38+AM38</f>
        <v>31500</v>
      </c>
      <c r="AO38" s="126"/>
      <c r="AP38" s="47" t="s">
        <v>115</v>
      </c>
      <c r="AQ38" s="4">
        <f>2500*4*4</f>
        <v>40000</v>
      </c>
      <c r="AR38" s="49">
        <v>5000</v>
      </c>
      <c r="AS38" s="49">
        <v>5000</v>
      </c>
      <c r="AT38" s="49">
        <v>5000</v>
      </c>
      <c r="AU38" s="49">
        <v>5000</v>
      </c>
      <c r="AV38" s="71">
        <f>AR38+AS38+AT38+AU38</f>
        <v>20000</v>
      </c>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row>
    <row r="39" spans="1:90" x14ac:dyDescent="0.25">
      <c r="A39" s="124" t="s">
        <v>116</v>
      </c>
      <c r="B39" s="51" t="s">
        <v>117</v>
      </c>
      <c r="C39" s="91" t="s">
        <v>78</v>
      </c>
      <c r="D39" s="125">
        <v>500</v>
      </c>
      <c r="E39" s="125">
        <v>2</v>
      </c>
      <c r="F39" s="56">
        <f>D39*E39</f>
        <v>1000</v>
      </c>
      <c r="G39" s="125"/>
      <c r="H39" s="56">
        <f>F39+G39</f>
        <v>1000</v>
      </c>
      <c r="I39" s="56">
        <v>70</v>
      </c>
      <c r="J39" s="56">
        <v>50</v>
      </c>
      <c r="K39" s="56">
        <f>I39*J39</f>
        <v>3500</v>
      </c>
      <c r="L39" s="56"/>
      <c r="M39" s="57">
        <f>K39+L39</f>
        <v>3500</v>
      </c>
      <c r="N39" s="67"/>
      <c r="O39" s="56"/>
      <c r="P39" s="56"/>
      <c r="Q39" s="56">
        <f>M39/2</f>
        <v>1750</v>
      </c>
      <c r="R39" s="56">
        <v>1750</v>
      </c>
      <c r="S39" s="58">
        <f>O39+P39+Q39+R39</f>
        <v>3500</v>
      </c>
      <c r="T39" s="67"/>
      <c r="U39" s="125">
        <v>500</v>
      </c>
      <c r="V39" s="125">
        <v>4</v>
      </c>
      <c r="W39" s="64">
        <f>U39*V39</f>
        <v>2000</v>
      </c>
      <c r="X39" s="125"/>
      <c r="Y39" s="56">
        <f>W39+X39</f>
        <v>2000</v>
      </c>
      <c r="Z39" s="67"/>
      <c r="AA39" s="56">
        <v>500</v>
      </c>
      <c r="AB39" s="56">
        <v>4</v>
      </c>
      <c r="AC39" s="56">
        <f>AA39*AB39</f>
        <v>2000</v>
      </c>
      <c r="AD39" s="56"/>
      <c r="AE39" s="56">
        <f>AC39+AD39</f>
        <v>2000</v>
      </c>
      <c r="AF39" s="125">
        <v>500</v>
      </c>
      <c r="AG39" s="125">
        <v>3</v>
      </c>
      <c r="AH39" s="64">
        <f>AF39*AG39</f>
        <v>1500</v>
      </c>
      <c r="AI39" s="125"/>
      <c r="AJ39" s="56">
        <f>AH39+AI39</f>
        <v>1500</v>
      </c>
      <c r="AK39" s="64">
        <f t="shared" si="8"/>
        <v>9</v>
      </c>
      <c r="AL39" s="64">
        <f t="shared" si="8"/>
        <v>4500</v>
      </c>
      <c r="AM39" s="64">
        <f t="shared" si="8"/>
        <v>0</v>
      </c>
      <c r="AN39" s="57">
        <f>AL39+AM39</f>
        <v>4500</v>
      </c>
      <c r="AO39" s="126"/>
      <c r="AP39" s="49"/>
      <c r="AQ39" s="4"/>
      <c r="AR39" s="49">
        <v>500</v>
      </c>
      <c r="AS39" s="49">
        <v>500</v>
      </c>
      <c r="AT39" s="49">
        <v>500</v>
      </c>
      <c r="AU39" s="49">
        <v>500</v>
      </c>
      <c r="AV39" s="71">
        <f>AR39+AS39+AT39+AU39</f>
        <v>2000</v>
      </c>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row>
    <row r="40" spans="1:90" ht="15.75" x14ac:dyDescent="0.25">
      <c r="A40" s="94"/>
      <c r="B40" s="95" t="s">
        <v>118</v>
      </c>
      <c r="C40" s="96"/>
      <c r="D40" s="97">
        <f>SUM(D36:D39)</f>
        <v>9360</v>
      </c>
      <c r="E40" s="98">
        <v>2</v>
      </c>
      <c r="F40" s="97">
        <f>SUM(F36:F39)</f>
        <v>18720</v>
      </c>
      <c r="G40" s="97">
        <f>SUM(G36:G39)</f>
        <v>0</v>
      </c>
      <c r="H40" s="97">
        <f>SUM(H36:H39)</f>
        <v>18720</v>
      </c>
      <c r="I40" s="99">
        <v>2</v>
      </c>
      <c r="J40" s="97"/>
      <c r="K40" s="97">
        <f>SUM(K36:K39)</f>
        <v>27340</v>
      </c>
      <c r="L40" s="97">
        <f>SUM(L36:L39)</f>
        <v>0</v>
      </c>
      <c r="M40" s="97">
        <f>SUM(M36:M39)</f>
        <v>27340</v>
      </c>
      <c r="N40" s="100"/>
      <c r="O40" s="97">
        <f>SUM(O36:O39)</f>
        <v>0</v>
      </c>
      <c r="P40" s="97">
        <f>SUM(P36:P39)</f>
        <v>0</v>
      </c>
      <c r="Q40" s="97">
        <f>SUM(Q36:Q39)</f>
        <v>13670</v>
      </c>
      <c r="R40" s="97">
        <f>SUM(R36:R39)</f>
        <v>13670</v>
      </c>
      <c r="S40" s="58">
        <f>O40+P40+Q40+R40</f>
        <v>27340</v>
      </c>
      <c r="T40" s="100"/>
      <c r="U40" s="97">
        <f>SUM(U36:U39)</f>
        <v>9360</v>
      </c>
      <c r="V40" s="98">
        <v>4</v>
      </c>
      <c r="W40" s="97">
        <f>SUM(W36:W39)</f>
        <v>37440</v>
      </c>
      <c r="X40" s="97">
        <f>SUM(X36:X39)</f>
        <v>0</v>
      </c>
      <c r="Y40" s="97">
        <f>SUM(Y36:Y39)</f>
        <v>37440</v>
      </c>
      <c r="Z40" s="100"/>
      <c r="AA40" s="75"/>
      <c r="AB40" s="78">
        <v>4</v>
      </c>
      <c r="AC40" s="75">
        <f>SUM(AC36:AC39)</f>
        <v>49680</v>
      </c>
      <c r="AD40" s="75">
        <f>SUM(AD36:AD39)</f>
        <v>0</v>
      </c>
      <c r="AE40" s="75">
        <f>SUM(AE36:AE39)</f>
        <v>49680</v>
      </c>
      <c r="AF40" s="97">
        <f>SUM(AF36:AF39)</f>
        <v>9360</v>
      </c>
      <c r="AG40" s="98">
        <v>3</v>
      </c>
      <c r="AH40" s="97">
        <f>SUM(AH36:AH39)</f>
        <v>28080</v>
      </c>
      <c r="AI40" s="97">
        <f>SUM(AI36:AI39)</f>
        <v>0</v>
      </c>
      <c r="AJ40" s="97">
        <f>SUM(AJ36:AJ39)</f>
        <v>28080</v>
      </c>
      <c r="AK40" s="78">
        <f>AG40+V40+E40</f>
        <v>9</v>
      </c>
      <c r="AL40" s="97">
        <f>SUM(AL36:AL39)</f>
        <v>84240</v>
      </c>
      <c r="AM40" s="97">
        <f>SUM(AM36:AM39)</f>
        <v>0</v>
      </c>
      <c r="AN40" s="97">
        <f>SUM(AN36:AN39)</f>
        <v>84240</v>
      </c>
      <c r="AO40" s="101">
        <f>SUM(AO36:AO39)</f>
        <v>0</v>
      </c>
      <c r="AP40" s="49"/>
      <c r="AQ40" s="79"/>
      <c r="AR40" s="75">
        <f>SUM(AR36:AR39)</f>
        <v>12420</v>
      </c>
      <c r="AS40" s="75">
        <f>SUM(AS36:AS39)</f>
        <v>12420</v>
      </c>
      <c r="AT40" s="75">
        <f>SUM(AT36:AT39)</f>
        <v>12420</v>
      </c>
      <c r="AU40" s="75">
        <f>SUM(AU36:AU39)</f>
        <v>12420</v>
      </c>
      <c r="AV40" s="71">
        <f>AR40+AS40+AT40+AU40</f>
        <v>49680</v>
      </c>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row>
    <row r="41" spans="1:90" ht="47.25" x14ac:dyDescent="0.25">
      <c r="A41" s="80">
        <v>2.2000000000000002</v>
      </c>
      <c r="B41" s="81" t="s">
        <v>119</v>
      </c>
      <c r="C41" s="121"/>
      <c r="D41" s="122"/>
      <c r="E41" s="122"/>
      <c r="F41" s="122"/>
      <c r="G41" s="122"/>
      <c r="H41" s="122"/>
      <c r="I41" s="122"/>
      <c r="J41" s="122"/>
      <c r="K41" s="122"/>
      <c r="L41" s="122"/>
      <c r="M41" s="122"/>
      <c r="N41" s="100"/>
      <c r="O41" s="122"/>
      <c r="P41" s="122"/>
      <c r="Q41" s="122"/>
      <c r="R41" s="122"/>
      <c r="S41" s="122"/>
      <c r="T41" s="100"/>
      <c r="U41" s="122"/>
      <c r="V41" s="122"/>
      <c r="W41" s="122"/>
      <c r="X41" s="122"/>
      <c r="Y41" s="122"/>
      <c r="Z41" s="100"/>
      <c r="AA41" s="122"/>
      <c r="AB41" s="122"/>
      <c r="AC41" s="122"/>
      <c r="AD41" s="122"/>
      <c r="AE41" s="122"/>
      <c r="AF41" s="122"/>
      <c r="AG41" s="122"/>
      <c r="AH41" s="122"/>
      <c r="AI41" s="122"/>
      <c r="AJ41" s="122"/>
      <c r="AK41" s="122"/>
      <c r="AL41" s="122"/>
      <c r="AM41" s="122"/>
      <c r="AN41" s="122"/>
      <c r="AO41" s="123"/>
      <c r="AP41" s="49"/>
      <c r="AQ41" s="4"/>
      <c r="AR41" s="65"/>
      <c r="AS41" s="65"/>
      <c r="AT41" s="65"/>
      <c r="AU41" s="65"/>
      <c r="AV41" s="65"/>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row>
    <row r="42" spans="1:90" ht="25.5" x14ac:dyDescent="0.25">
      <c r="A42" s="124" t="s">
        <v>120</v>
      </c>
      <c r="B42" s="51" t="s">
        <v>121</v>
      </c>
      <c r="C42" s="91" t="s">
        <v>62</v>
      </c>
      <c r="D42" s="125">
        <v>2500</v>
      </c>
      <c r="E42" s="125">
        <v>1</v>
      </c>
      <c r="F42" s="56">
        <f>D42*E42</f>
        <v>2500</v>
      </c>
      <c r="G42" s="125"/>
      <c r="H42" s="56">
        <f>F42+G42</f>
        <v>2500</v>
      </c>
      <c r="I42" s="56">
        <v>1</v>
      </c>
      <c r="J42" s="56">
        <v>2500</v>
      </c>
      <c r="K42" s="56">
        <f>I42*J42</f>
        <v>2500</v>
      </c>
      <c r="L42" s="56"/>
      <c r="M42" s="57">
        <f>K42+L42</f>
        <v>2500</v>
      </c>
      <c r="N42" s="67"/>
      <c r="O42" s="56"/>
      <c r="P42" s="56"/>
      <c r="Q42" s="56">
        <f>M42</f>
        <v>2500</v>
      </c>
      <c r="R42" s="56"/>
      <c r="S42" s="58">
        <f>O42+P42+Q42+R42</f>
        <v>2500</v>
      </c>
      <c r="T42" s="67"/>
      <c r="U42" s="125">
        <v>2500</v>
      </c>
      <c r="V42" s="125">
        <v>2</v>
      </c>
      <c r="W42" s="64">
        <f>U42*V42</f>
        <v>5000</v>
      </c>
      <c r="X42" s="125"/>
      <c r="Y42" s="56">
        <f>W42+X42</f>
        <v>5000</v>
      </c>
      <c r="Z42" s="67"/>
      <c r="AA42" s="56">
        <v>2500</v>
      </c>
      <c r="AB42" s="56">
        <v>2</v>
      </c>
      <c r="AC42" s="56">
        <f>AA42*AB42</f>
        <v>5000</v>
      </c>
      <c r="AD42" s="56"/>
      <c r="AE42" s="56">
        <f>AC42+AD42</f>
        <v>5000</v>
      </c>
      <c r="AF42" s="125">
        <v>2500</v>
      </c>
      <c r="AG42" s="125">
        <v>1</v>
      </c>
      <c r="AH42" s="64">
        <f>AF42*AG42</f>
        <v>2500</v>
      </c>
      <c r="AI42" s="125"/>
      <c r="AJ42" s="56">
        <f>AH42+AI42</f>
        <v>2500</v>
      </c>
      <c r="AK42" s="64">
        <f t="shared" ref="AK42:AM45" si="9">E42+V42+AG42</f>
        <v>4</v>
      </c>
      <c r="AL42" s="64">
        <f t="shared" si="9"/>
        <v>10000</v>
      </c>
      <c r="AM42" s="64">
        <f t="shared" si="9"/>
        <v>0</v>
      </c>
      <c r="AN42" s="57">
        <f>AL42+AM42</f>
        <v>10000</v>
      </c>
      <c r="AO42" s="126"/>
      <c r="AP42" s="49"/>
      <c r="AQ42" s="4"/>
      <c r="AR42" s="49"/>
      <c r="AS42" s="49">
        <v>2500</v>
      </c>
      <c r="AT42" s="49"/>
      <c r="AU42" s="49">
        <v>2500</v>
      </c>
      <c r="AV42" s="71">
        <f>AR42+AS42+AT42+AU42</f>
        <v>5000</v>
      </c>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row>
    <row r="43" spans="1:90" ht="38.25" x14ac:dyDescent="0.25">
      <c r="A43" s="124" t="s">
        <v>122</v>
      </c>
      <c r="B43" s="51" t="s">
        <v>123</v>
      </c>
      <c r="C43" s="91" t="s">
        <v>70</v>
      </c>
      <c r="D43" s="125">
        <v>3360</v>
      </c>
      <c r="E43" s="125">
        <v>1</v>
      </c>
      <c r="F43" s="56">
        <f>D43*E43</f>
        <v>3360</v>
      </c>
      <c r="G43" s="125"/>
      <c r="H43" s="56">
        <f>F43+G43</f>
        <v>3360</v>
      </c>
      <c r="I43" s="56">
        <v>41</v>
      </c>
      <c r="J43" s="56">
        <v>120</v>
      </c>
      <c r="K43" s="56">
        <f>I43*J43</f>
        <v>4920</v>
      </c>
      <c r="L43" s="56"/>
      <c r="M43" s="57">
        <f>K43+L43</f>
        <v>4920</v>
      </c>
      <c r="N43" s="67"/>
      <c r="O43" s="56"/>
      <c r="P43" s="56"/>
      <c r="Q43" s="56">
        <f>M43</f>
        <v>4920</v>
      </c>
      <c r="R43" s="56"/>
      <c r="S43" s="58">
        <f>O43+P43+Q43+R43</f>
        <v>4920</v>
      </c>
      <c r="T43" s="67"/>
      <c r="U43" s="125">
        <v>3360</v>
      </c>
      <c r="V43" s="125">
        <v>2</v>
      </c>
      <c r="W43" s="64">
        <f>U43*V43</f>
        <v>6720</v>
      </c>
      <c r="X43" s="125"/>
      <c r="Y43" s="56">
        <f>W43+X43</f>
        <v>6720</v>
      </c>
      <c r="Z43" s="67"/>
      <c r="AA43" s="56">
        <v>4920</v>
      </c>
      <c r="AB43" s="56">
        <v>2</v>
      </c>
      <c r="AC43" s="56">
        <f>AA43*AB43</f>
        <v>9840</v>
      </c>
      <c r="AD43" s="56"/>
      <c r="AE43" s="56">
        <f>AC43+AD43</f>
        <v>9840</v>
      </c>
      <c r="AF43" s="125">
        <v>3360</v>
      </c>
      <c r="AG43" s="125">
        <v>1</v>
      </c>
      <c r="AH43" s="64">
        <f>AF43*AG43</f>
        <v>3360</v>
      </c>
      <c r="AI43" s="125"/>
      <c r="AJ43" s="56">
        <f>AH43+AI43</f>
        <v>3360</v>
      </c>
      <c r="AK43" s="64">
        <f t="shared" si="9"/>
        <v>4</v>
      </c>
      <c r="AL43" s="64">
        <f t="shared" si="9"/>
        <v>13440</v>
      </c>
      <c r="AM43" s="64">
        <f t="shared" si="9"/>
        <v>0</v>
      </c>
      <c r="AN43" s="57">
        <f>AL43+AM43</f>
        <v>13440</v>
      </c>
      <c r="AO43" s="126"/>
      <c r="AP43" s="49" t="s">
        <v>71</v>
      </c>
      <c r="AQ43" s="4"/>
      <c r="AR43" s="49"/>
      <c r="AS43" s="49">
        <v>4920</v>
      </c>
      <c r="AT43" s="49"/>
      <c r="AU43" s="49">
        <v>4920</v>
      </c>
      <c r="AV43" s="71">
        <f>AR43+AS43+AT43+AU43</f>
        <v>9840</v>
      </c>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row>
    <row r="44" spans="1:90" ht="51" x14ac:dyDescent="0.25">
      <c r="A44" s="124" t="s">
        <v>124</v>
      </c>
      <c r="B44" s="51" t="s">
        <v>125</v>
      </c>
      <c r="C44" s="91" t="s">
        <v>74</v>
      </c>
      <c r="D44" s="125">
        <v>3500</v>
      </c>
      <c r="E44" s="125">
        <v>1</v>
      </c>
      <c r="F44" s="56">
        <f>D44*E44</f>
        <v>3500</v>
      </c>
      <c r="G44" s="125"/>
      <c r="H44" s="56">
        <f>F44+G44</f>
        <v>3500</v>
      </c>
      <c r="I44" s="56">
        <v>2</v>
      </c>
      <c r="J44" s="56">
        <v>2500</v>
      </c>
      <c r="K44" s="56">
        <f>I44*J44</f>
        <v>5000</v>
      </c>
      <c r="L44" s="56"/>
      <c r="M44" s="57">
        <f>K44+L44</f>
        <v>5000</v>
      </c>
      <c r="N44" s="67"/>
      <c r="O44" s="56"/>
      <c r="P44" s="56"/>
      <c r="Q44" s="56">
        <f>M44</f>
        <v>5000</v>
      </c>
      <c r="R44" s="56"/>
      <c r="S44" s="58">
        <f>O44+P44+Q44+R44</f>
        <v>5000</v>
      </c>
      <c r="T44" s="67"/>
      <c r="U44" s="125">
        <v>3500</v>
      </c>
      <c r="V44" s="125">
        <v>2</v>
      </c>
      <c r="W44" s="64">
        <f>U44*V44</f>
        <v>7000</v>
      </c>
      <c r="X44" s="125"/>
      <c r="Y44" s="56">
        <f>W44+X44</f>
        <v>7000</v>
      </c>
      <c r="Z44" s="67"/>
      <c r="AA44" s="56">
        <v>2500</v>
      </c>
      <c r="AB44" s="67">
        <v>4</v>
      </c>
      <c r="AC44" s="56">
        <f>AA44*AB44</f>
        <v>10000</v>
      </c>
      <c r="AD44" s="56"/>
      <c r="AE44" s="56">
        <f>AC44+AD44</f>
        <v>10000</v>
      </c>
      <c r="AF44" s="125">
        <v>3500</v>
      </c>
      <c r="AG44" s="125">
        <v>1</v>
      </c>
      <c r="AH44" s="64">
        <f>AF44*AG44</f>
        <v>3500</v>
      </c>
      <c r="AI44" s="125"/>
      <c r="AJ44" s="56">
        <f>AH44+AI44</f>
        <v>3500</v>
      </c>
      <c r="AK44" s="64">
        <f t="shared" si="9"/>
        <v>4</v>
      </c>
      <c r="AL44" s="64">
        <f t="shared" si="9"/>
        <v>14000</v>
      </c>
      <c r="AM44" s="64">
        <f t="shared" si="9"/>
        <v>0</v>
      </c>
      <c r="AN44" s="57">
        <f>AL44+AM44</f>
        <v>14000</v>
      </c>
      <c r="AO44" s="126"/>
      <c r="AP44" s="47" t="s">
        <v>126</v>
      </c>
      <c r="AQ44" s="4">
        <f>2500*2*2</f>
        <v>10000</v>
      </c>
      <c r="AR44" s="49"/>
      <c r="AS44" s="49">
        <v>5000</v>
      </c>
      <c r="AT44" s="49"/>
      <c r="AU44" s="49">
        <v>5000</v>
      </c>
      <c r="AV44" s="71">
        <f>AR44+AS44+AT44+AU44</f>
        <v>10000</v>
      </c>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row>
    <row r="45" spans="1:90" x14ac:dyDescent="0.25">
      <c r="A45" s="124" t="s">
        <v>127</v>
      </c>
      <c r="B45" s="51" t="s">
        <v>117</v>
      </c>
      <c r="C45" s="91" t="s">
        <v>78</v>
      </c>
      <c r="D45" s="125">
        <v>500</v>
      </c>
      <c r="E45" s="125">
        <v>1</v>
      </c>
      <c r="F45" s="56">
        <f>D45*E45</f>
        <v>500</v>
      </c>
      <c r="G45" s="125"/>
      <c r="H45" s="56">
        <f>F45+G45</f>
        <v>500</v>
      </c>
      <c r="I45" s="56">
        <v>35</v>
      </c>
      <c r="J45" s="56">
        <v>50</v>
      </c>
      <c r="K45" s="56">
        <f>I45*J45</f>
        <v>1750</v>
      </c>
      <c r="L45" s="56"/>
      <c r="M45" s="57">
        <f>K45+L45</f>
        <v>1750</v>
      </c>
      <c r="N45" s="67"/>
      <c r="O45" s="56"/>
      <c r="P45" s="56"/>
      <c r="Q45" s="56">
        <f>M45</f>
        <v>1750</v>
      </c>
      <c r="R45" s="56"/>
      <c r="S45" s="58">
        <f>O45+P45+Q45+R45</f>
        <v>1750</v>
      </c>
      <c r="T45" s="67"/>
      <c r="U45" s="125">
        <v>500</v>
      </c>
      <c r="V45" s="125">
        <v>2</v>
      </c>
      <c r="W45" s="64">
        <f>U45*V45</f>
        <v>1000</v>
      </c>
      <c r="X45" s="125"/>
      <c r="Y45" s="56">
        <f>W45+X45</f>
        <v>1000</v>
      </c>
      <c r="Z45" s="67"/>
      <c r="AA45" s="56">
        <v>500</v>
      </c>
      <c r="AB45" s="56">
        <v>2</v>
      </c>
      <c r="AC45" s="56">
        <f>AA45*AB45</f>
        <v>1000</v>
      </c>
      <c r="AD45" s="56"/>
      <c r="AE45" s="56">
        <f>AC45+AD45</f>
        <v>1000</v>
      </c>
      <c r="AF45" s="125">
        <v>500</v>
      </c>
      <c r="AG45" s="125">
        <v>1</v>
      </c>
      <c r="AH45" s="64">
        <f>AF45*AG45</f>
        <v>500</v>
      </c>
      <c r="AI45" s="125"/>
      <c r="AJ45" s="56">
        <f>AH45+AI45</f>
        <v>500</v>
      </c>
      <c r="AK45" s="64">
        <f t="shared" si="9"/>
        <v>4</v>
      </c>
      <c r="AL45" s="64">
        <f t="shared" si="9"/>
        <v>2000</v>
      </c>
      <c r="AM45" s="64">
        <f t="shared" si="9"/>
        <v>0</v>
      </c>
      <c r="AN45" s="57">
        <f>AL45+AM45</f>
        <v>2000</v>
      </c>
      <c r="AO45" s="126"/>
      <c r="AP45" s="49"/>
      <c r="AQ45" s="4"/>
      <c r="AR45" s="49"/>
      <c r="AS45" s="49">
        <v>500</v>
      </c>
      <c r="AT45" s="49"/>
      <c r="AU45" s="49">
        <v>500</v>
      </c>
      <c r="AV45" s="71">
        <f>AR45+AS45+AT45+AU45</f>
        <v>1000</v>
      </c>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row>
    <row r="46" spans="1:90" ht="15.75" x14ac:dyDescent="0.25">
      <c r="A46" s="94"/>
      <c r="B46" s="95" t="s">
        <v>128</v>
      </c>
      <c r="C46" s="96"/>
      <c r="D46" s="97">
        <f>SUM(D42:D45)</f>
        <v>9860</v>
      </c>
      <c r="E46" s="98">
        <v>2</v>
      </c>
      <c r="F46" s="97">
        <f>SUM(F42:F45)</f>
        <v>9860</v>
      </c>
      <c r="G46" s="97">
        <f>SUM(G42:G45)</f>
        <v>0</v>
      </c>
      <c r="H46" s="97">
        <f>SUM(H42:H45)</f>
        <v>9860</v>
      </c>
      <c r="I46" s="99">
        <v>1</v>
      </c>
      <c r="J46" s="97"/>
      <c r="K46" s="97">
        <f>SUM(K42:K45)</f>
        <v>14170</v>
      </c>
      <c r="L46" s="97">
        <f>SUM(L42:L45)</f>
        <v>0</v>
      </c>
      <c r="M46" s="97">
        <f>SUM(M42:M45)</f>
        <v>14170</v>
      </c>
      <c r="N46" s="100"/>
      <c r="O46" s="97">
        <f>SUM(O42:O45)</f>
        <v>0</v>
      </c>
      <c r="P46" s="97">
        <f>SUM(P42:P45)</f>
        <v>0</v>
      </c>
      <c r="Q46" s="97">
        <f>SUM(Q42:Q45)</f>
        <v>14170</v>
      </c>
      <c r="R46" s="97">
        <f>SUM(R42:R45)</f>
        <v>0</v>
      </c>
      <c r="S46" s="58">
        <f>O46+P46+Q46+R46</f>
        <v>14170</v>
      </c>
      <c r="T46" s="100"/>
      <c r="U46" s="97">
        <f>SUM(U42:U45)</f>
        <v>9860</v>
      </c>
      <c r="V46" s="98">
        <v>2</v>
      </c>
      <c r="W46" s="97">
        <f>SUM(W42:W45)</f>
        <v>19720</v>
      </c>
      <c r="X46" s="97">
        <f>SUM(X42:X45)</f>
        <v>0</v>
      </c>
      <c r="Y46" s="97">
        <f>SUM(Y42:Y45)</f>
        <v>19720</v>
      </c>
      <c r="Z46" s="100"/>
      <c r="AA46" s="75"/>
      <c r="AB46" s="78">
        <v>2</v>
      </c>
      <c r="AC46" s="75">
        <f t="shared" ref="AC46:AO46" si="10">SUM(AC42:AC45)</f>
        <v>25840</v>
      </c>
      <c r="AD46" s="75">
        <f t="shared" si="10"/>
        <v>0</v>
      </c>
      <c r="AE46" s="75">
        <f t="shared" si="10"/>
        <v>25840</v>
      </c>
      <c r="AF46" s="75">
        <f t="shared" si="10"/>
        <v>9860</v>
      </c>
      <c r="AG46" s="75">
        <f t="shared" si="10"/>
        <v>4</v>
      </c>
      <c r="AH46" s="75">
        <f t="shared" si="10"/>
        <v>9860</v>
      </c>
      <c r="AI46" s="75">
        <f t="shared" si="10"/>
        <v>0</v>
      </c>
      <c r="AJ46" s="75">
        <f t="shared" si="10"/>
        <v>9860</v>
      </c>
      <c r="AK46" s="75">
        <f t="shared" si="10"/>
        <v>16</v>
      </c>
      <c r="AL46" s="75">
        <f t="shared" si="10"/>
        <v>39440</v>
      </c>
      <c r="AM46" s="75">
        <f t="shared" si="10"/>
        <v>0</v>
      </c>
      <c r="AN46" s="75">
        <f t="shared" si="10"/>
        <v>39440</v>
      </c>
      <c r="AO46" s="79">
        <f t="shared" si="10"/>
        <v>0</v>
      </c>
      <c r="AP46" s="49"/>
      <c r="AQ46" s="79"/>
      <c r="AR46" s="75">
        <f>SUM(AR42:AR45)</f>
        <v>0</v>
      </c>
      <c r="AS46" s="75">
        <f>SUM(AS42:AS45)</f>
        <v>12920</v>
      </c>
      <c r="AT46" s="75">
        <f>SUM(AT42:AT45)</f>
        <v>0</v>
      </c>
      <c r="AU46" s="75">
        <f>SUM(AU42:AU45)</f>
        <v>12920</v>
      </c>
      <c r="AV46" s="71">
        <f>AR46+AS46+AT46+AU46</f>
        <v>25840</v>
      </c>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row>
    <row r="47" spans="1:90" ht="31.5" x14ac:dyDescent="0.25">
      <c r="A47" s="80">
        <v>2.2999999999999998</v>
      </c>
      <c r="B47" s="81" t="s">
        <v>129</v>
      </c>
      <c r="C47" s="121"/>
      <c r="D47" s="122"/>
      <c r="E47" s="122"/>
      <c r="F47" s="122"/>
      <c r="G47" s="122"/>
      <c r="H47" s="122"/>
      <c r="I47" s="122"/>
      <c r="J47" s="122"/>
      <c r="K47" s="122"/>
      <c r="L47" s="122"/>
      <c r="M47" s="122"/>
      <c r="N47" s="100"/>
      <c r="O47" s="122"/>
      <c r="P47" s="122"/>
      <c r="Q47" s="122"/>
      <c r="R47" s="122"/>
      <c r="S47" s="122"/>
      <c r="T47" s="100"/>
      <c r="U47" s="122"/>
      <c r="V47" s="122"/>
      <c r="W47" s="122"/>
      <c r="X47" s="122"/>
      <c r="Y47" s="122"/>
      <c r="Z47" s="100"/>
      <c r="AA47" s="122"/>
      <c r="AB47" s="122"/>
      <c r="AC47" s="122"/>
      <c r="AD47" s="122"/>
      <c r="AE47" s="122"/>
      <c r="AF47" s="122"/>
      <c r="AG47" s="122"/>
      <c r="AH47" s="122"/>
      <c r="AI47" s="122"/>
      <c r="AJ47" s="122"/>
      <c r="AK47" s="122"/>
      <c r="AL47" s="122"/>
      <c r="AM47" s="122"/>
      <c r="AN47" s="122"/>
      <c r="AO47" s="123"/>
      <c r="AP47" s="49"/>
      <c r="AQ47" s="4"/>
      <c r="AR47" s="65"/>
      <c r="AS47" s="65"/>
      <c r="AT47" s="65"/>
      <c r="AU47" s="65"/>
      <c r="AV47" s="65"/>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row>
    <row r="48" spans="1:90" ht="25.5" x14ac:dyDescent="0.25">
      <c r="A48" s="124" t="s">
        <v>130</v>
      </c>
      <c r="B48" s="51" t="s">
        <v>121</v>
      </c>
      <c r="C48" s="91" t="s">
        <v>131</v>
      </c>
      <c r="D48" s="125">
        <v>2500</v>
      </c>
      <c r="E48" s="125">
        <v>2</v>
      </c>
      <c r="F48" s="56">
        <f>D48*E48</f>
        <v>5000</v>
      </c>
      <c r="G48" s="125">
        <v>0</v>
      </c>
      <c r="H48" s="56">
        <f>F48+G48</f>
        <v>5000</v>
      </c>
      <c r="I48" s="56">
        <v>1</v>
      </c>
      <c r="J48" s="56">
        <v>2500</v>
      </c>
      <c r="K48" s="56">
        <f>I48*J48</f>
        <v>2500</v>
      </c>
      <c r="L48" s="56"/>
      <c r="M48" s="57">
        <f>K48+L48</f>
        <v>2500</v>
      </c>
      <c r="N48" s="67"/>
      <c r="O48" s="56"/>
      <c r="P48" s="56">
        <f>M48</f>
        <v>2500</v>
      </c>
      <c r="Q48" s="56"/>
      <c r="R48" s="56"/>
      <c r="S48" s="58">
        <f>O48+P48+Q48+R48</f>
        <v>2500</v>
      </c>
      <c r="T48" s="67"/>
      <c r="U48" s="125">
        <v>2500</v>
      </c>
      <c r="V48" s="125">
        <v>2</v>
      </c>
      <c r="W48" s="64">
        <f>U48*V48</f>
        <v>5000</v>
      </c>
      <c r="X48" s="125"/>
      <c r="Y48" s="56">
        <f>W48+X48</f>
        <v>5000</v>
      </c>
      <c r="Z48" s="67"/>
      <c r="AA48" s="56">
        <v>2500</v>
      </c>
      <c r="AB48" s="56">
        <v>2</v>
      </c>
      <c r="AC48" s="56">
        <f>AA48*AB48</f>
        <v>5000</v>
      </c>
      <c r="AD48" s="56"/>
      <c r="AE48" s="56">
        <f>AC48+AD48</f>
        <v>5000</v>
      </c>
      <c r="AF48" s="125">
        <v>2500</v>
      </c>
      <c r="AG48" s="125">
        <v>2</v>
      </c>
      <c r="AH48" s="64">
        <f>AF48*AG48</f>
        <v>5000</v>
      </c>
      <c r="AI48" s="125"/>
      <c r="AJ48" s="56">
        <f>AH48+AI48</f>
        <v>5000</v>
      </c>
      <c r="AK48" s="64">
        <f t="shared" ref="AK48:AM51" si="11">E48+V48+AG48</f>
        <v>6</v>
      </c>
      <c r="AL48" s="64">
        <f t="shared" si="11"/>
        <v>15000</v>
      </c>
      <c r="AM48" s="64">
        <f t="shared" si="11"/>
        <v>0</v>
      </c>
      <c r="AN48" s="57">
        <f>AL48+AM48</f>
        <v>15000</v>
      </c>
      <c r="AO48" s="126"/>
      <c r="AP48" s="49"/>
      <c r="AQ48" s="4"/>
      <c r="AR48" s="49"/>
      <c r="AS48" s="49">
        <v>2500</v>
      </c>
      <c r="AT48" s="49"/>
      <c r="AU48" s="49">
        <v>2500</v>
      </c>
      <c r="AV48" s="71">
        <f>AR48+AS48+AT48+AU48</f>
        <v>5000</v>
      </c>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row>
    <row r="49" spans="1:90" ht="38.25" x14ac:dyDescent="0.25">
      <c r="A49" s="124" t="s">
        <v>132</v>
      </c>
      <c r="B49" s="51" t="s">
        <v>133</v>
      </c>
      <c r="C49" s="91" t="s">
        <v>134</v>
      </c>
      <c r="D49" s="125">
        <v>1680</v>
      </c>
      <c r="E49" s="125">
        <v>2</v>
      </c>
      <c r="F49" s="56">
        <f>D49*E49</f>
        <v>3360</v>
      </c>
      <c r="G49" s="125">
        <v>0</v>
      </c>
      <c r="H49" s="56">
        <f>F49+G49</f>
        <v>3360</v>
      </c>
      <c r="I49" s="56">
        <f>21+6</f>
        <v>27</v>
      </c>
      <c r="J49" s="56">
        <v>120</v>
      </c>
      <c r="K49" s="56">
        <f>I49*J49</f>
        <v>3240</v>
      </c>
      <c r="L49" s="56"/>
      <c r="M49" s="57">
        <f>K49+L49</f>
        <v>3240</v>
      </c>
      <c r="N49" s="67"/>
      <c r="O49" s="56"/>
      <c r="P49" s="56">
        <f>M49</f>
        <v>3240</v>
      </c>
      <c r="Q49" s="56"/>
      <c r="R49" s="56"/>
      <c r="S49" s="58">
        <f>O49+P49+Q49+R49</f>
        <v>3240</v>
      </c>
      <c r="T49" s="67"/>
      <c r="U49" s="125">
        <v>1680</v>
      </c>
      <c r="V49" s="125">
        <v>2</v>
      </c>
      <c r="W49" s="64">
        <f>U49*V49</f>
        <v>3360</v>
      </c>
      <c r="X49" s="125"/>
      <c r="Y49" s="56">
        <f>W49+X49</f>
        <v>3360</v>
      </c>
      <c r="Z49" s="67"/>
      <c r="AA49" s="56">
        <v>3240</v>
      </c>
      <c r="AB49" s="56">
        <v>2</v>
      </c>
      <c r="AC49" s="56">
        <f>AA49*AB49</f>
        <v>6480</v>
      </c>
      <c r="AD49" s="56"/>
      <c r="AE49" s="56">
        <f>AC49+AD49</f>
        <v>6480</v>
      </c>
      <c r="AF49" s="125">
        <v>1680</v>
      </c>
      <c r="AG49" s="125">
        <v>2</v>
      </c>
      <c r="AH49" s="64">
        <f>AF49*AG49</f>
        <v>3360</v>
      </c>
      <c r="AI49" s="125"/>
      <c r="AJ49" s="56">
        <f>AH49+AI49</f>
        <v>3360</v>
      </c>
      <c r="AK49" s="64">
        <f t="shared" si="11"/>
        <v>6</v>
      </c>
      <c r="AL49" s="64">
        <f t="shared" si="11"/>
        <v>10080</v>
      </c>
      <c r="AM49" s="64">
        <f t="shared" si="11"/>
        <v>0</v>
      </c>
      <c r="AN49" s="57">
        <f>AL49+AM49</f>
        <v>10080</v>
      </c>
      <c r="AO49" s="126"/>
      <c r="AP49" s="49" t="s">
        <v>71</v>
      </c>
      <c r="AQ49" s="4"/>
      <c r="AR49" s="49"/>
      <c r="AS49" s="49">
        <v>3240</v>
      </c>
      <c r="AT49" s="49"/>
      <c r="AU49" s="49">
        <v>3240</v>
      </c>
      <c r="AV49" s="71">
        <f>AR49+AS49+AT49+AU49</f>
        <v>6480</v>
      </c>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row>
    <row r="50" spans="1:90" ht="51" x14ac:dyDescent="0.25">
      <c r="A50" s="124" t="s">
        <v>135</v>
      </c>
      <c r="B50" s="51" t="s">
        <v>136</v>
      </c>
      <c r="C50" s="91" t="s">
        <v>137</v>
      </c>
      <c r="D50" s="125">
        <v>1400</v>
      </c>
      <c r="E50" s="125">
        <v>2</v>
      </c>
      <c r="F50" s="56">
        <f>D50*E50</f>
        <v>2800</v>
      </c>
      <c r="G50" s="125">
        <v>0</v>
      </c>
      <c r="H50" s="56">
        <f>F50+G50</f>
        <v>2800</v>
      </c>
      <c r="I50" s="56">
        <v>2</v>
      </c>
      <c r="J50" s="56">
        <v>2500</v>
      </c>
      <c r="K50" s="56">
        <f>I50*J50</f>
        <v>5000</v>
      </c>
      <c r="L50" s="56"/>
      <c r="M50" s="57">
        <f>K50+L50</f>
        <v>5000</v>
      </c>
      <c r="N50" s="67"/>
      <c r="O50" s="56"/>
      <c r="P50" s="56">
        <f>M50</f>
        <v>5000</v>
      </c>
      <c r="Q50" s="56"/>
      <c r="R50" s="56"/>
      <c r="S50" s="58">
        <f>O50+P50+Q50+R50</f>
        <v>5000</v>
      </c>
      <c r="T50" s="67"/>
      <c r="U50" s="125">
        <v>1400</v>
      </c>
      <c r="V50" s="125">
        <v>2</v>
      </c>
      <c r="W50" s="64">
        <f>U50*V50</f>
        <v>2800</v>
      </c>
      <c r="X50" s="125"/>
      <c r="Y50" s="56">
        <f>W50+X50</f>
        <v>2800</v>
      </c>
      <c r="Z50" s="67"/>
      <c r="AA50" s="56">
        <v>2500</v>
      </c>
      <c r="AB50" s="67">
        <v>4</v>
      </c>
      <c r="AC50" s="56">
        <f>AA50*AB50</f>
        <v>10000</v>
      </c>
      <c r="AD50" s="56"/>
      <c r="AE50" s="56">
        <f>AC50+AD50</f>
        <v>10000</v>
      </c>
      <c r="AF50" s="125">
        <v>1400</v>
      </c>
      <c r="AG50" s="125">
        <v>2</v>
      </c>
      <c r="AH50" s="64">
        <f>AF50*AG50</f>
        <v>2800</v>
      </c>
      <c r="AI50" s="125"/>
      <c r="AJ50" s="56">
        <f>AH50+AI50</f>
        <v>2800</v>
      </c>
      <c r="AK50" s="64">
        <f t="shared" si="11"/>
        <v>6</v>
      </c>
      <c r="AL50" s="64">
        <f t="shared" si="11"/>
        <v>8400</v>
      </c>
      <c r="AM50" s="64">
        <f t="shared" si="11"/>
        <v>0</v>
      </c>
      <c r="AN50" s="57">
        <f>AL50+AM50</f>
        <v>8400</v>
      </c>
      <c r="AO50" s="126"/>
      <c r="AP50" s="47" t="s">
        <v>138</v>
      </c>
      <c r="AQ50" s="4">
        <f>2500*2*2</f>
        <v>10000</v>
      </c>
      <c r="AR50" s="49"/>
      <c r="AS50" s="49">
        <v>5000</v>
      </c>
      <c r="AT50" s="49"/>
      <c r="AU50" s="49">
        <v>5000</v>
      </c>
      <c r="AV50" s="71">
        <f>AR50+AS50+AT50+AU50</f>
        <v>10000</v>
      </c>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row>
    <row r="51" spans="1:90" x14ac:dyDescent="0.25">
      <c r="A51" s="124" t="s">
        <v>139</v>
      </c>
      <c r="B51" s="51" t="s">
        <v>77</v>
      </c>
      <c r="C51" s="91" t="s">
        <v>140</v>
      </c>
      <c r="D51" s="125">
        <v>500</v>
      </c>
      <c r="E51" s="125">
        <v>2</v>
      </c>
      <c r="F51" s="56">
        <f>D51*E51</f>
        <v>1000</v>
      </c>
      <c r="G51" s="125">
        <v>0</v>
      </c>
      <c r="H51" s="56">
        <f>F51+G51</f>
        <v>1000</v>
      </c>
      <c r="I51" s="56">
        <v>21</v>
      </c>
      <c r="J51" s="56">
        <v>50</v>
      </c>
      <c r="K51" s="56">
        <f>I51*J51</f>
        <v>1050</v>
      </c>
      <c r="L51" s="56"/>
      <c r="M51" s="57">
        <f>K51+L51</f>
        <v>1050</v>
      </c>
      <c r="N51" s="67"/>
      <c r="O51" s="56"/>
      <c r="P51" s="56">
        <f>M51</f>
        <v>1050</v>
      </c>
      <c r="Q51" s="56"/>
      <c r="R51" s="56"/>
      <c r="S51" s="58">
        <f>O51+P51+Q51+R51</f>
        <v>1050</v>
      </c>
      <c r="T51" s="67"/>
      <c r="U51" s="125">
        <v>500</v>
      </c>
      <c r="V51" s="125">
        <v>2</v>
      </c>
      <c r="W51" s="64">
        <f>U51*V51</f>
        <v>1000</v>
      </c>
      <c r="X51" s="125"/>
      <c r="Y51" s="56">
        <f>W51+X51</f>
        <v>1000</v>
      </c>
      <c r="Z51" s="67"/>
      <c r="AA51" s="56">
        <v>500</v>
      </c>
      <c r="AB51" s="56">
        <v>2</v>
      </c>
      <c r="AC51" s="56">
        <f>AA51*AB51</f>
        <v>1000</v>
      </c>
      <c r="AD51" s="56"/>
      <c r="AE51" s="56">
        <f>AC51+AD51</f>
        <v>1000</v>
      </c>
      <c r="AF51" s="125">
        <v>500</v>
      </c>
      <c r="AG51" s="125">
        <v>2</v>
      </c>
      <c r="AH51" s="64">
        <f>AF51*AG51</f>
        <v>1000</v>
      </c>
      <c r="AI51" s="125"/>
      <c r="AJ51" s="56">
        <f>AH51+AI51</f>
        <v>1000</v>
      </c>
      <c r="AK51" s="64">
        <f t="shared" si="11"/>
        <v>6</v>
      </c>
      <c r="AL51" s="64">
        <f t="shared" si="11"/>
        <v>3000</v>
      </c>
      <c r="AM51" s="64">
        <f t="shared" si="11"/>
        <v>0</v>
      </c>
      <c r="AN51" s="57">
        <f>AL51+AM51</f>
        <v>3000</v>
      </c>
      <c r="AO51" s="126"/>
      <c r="AP51" s="49"/>
      <c r="AQ51" s="4"/>
      <c r="AR51" s="49"/>
      <c r="AS51" s="49">
        <v>500</v>
      </c>
      <c r="AT51" s="49"/>
      <c r="AU51" s="49">
        <v>500</v>
      </c>
      <c r="AV51" s="71">
        <f>AR51+AS51+AT51+AU51</f>
        <v>1000</v>
      </c>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row>
    <row r="52" spans="1:90" ht="15.75" x14ac:dyDescent="0.25">
      <c r="A52" s="94"/>
      <c r="B52" s="95" t="s">
        <v>141</v>
      </c>
      <c r="C52" s="96"/>
      <c r="D52" s="97">
        <f>SUM(D48:D51)</f>
        <v>6080</v>
      </c>
      <c r="E52" s="98">
        <v>2</v>
      </c>
      <c r="F52" s="97">
        <f>SUM(F48:F51)</f>
        <v>12160</v>
      </c>
      <c r="G52" s="97">
        <f>SUM(G48:G51)</f>
        <v>0</v>
      </c>
      <c r="H52" s="97">
        <f>SUM(H48:H51)</f>
        <v>12160</v>
      </c>
      <c r="I52" s="99">
        <v>1</v>
      </c>
      <c r="J52" s="97"/>
      <c r="K52" s="97">
        <f>SUM(K48:K51)</f>
        <v>11790</v>
      </c>
      <c r="L52" s="97">
        <f>SUM(L48:L51)</f>
        <v>0</v>
      </c>
      <c r="M52" s="97">
        <f>SUM(M48:M51)</f>
        <v>11790</v>
      </c>
      <c r="N52" s="100"/>
      <c r="O52" s="97">
        <f>SUM(O48:O51)</f>
        <v>0</v>
      </c>
      <c r="P52" s="97">
        <f>SUM(P48:P51)</f>
        <v>11790</v>
      </c>
      <c r="Q52" s="97">
        <f>SUM(Q48:Q51)</f>
        <v>0</v>
      </c>
      <c r="R52" s="97">
        <f>SUM(R48:R51)</f>
        <v>0</v>
      </c>
      <c r="S52" s="58">
        <f>O52+P52+Q52+R52</f>
        <v>11790</v>
      </c>
      <c r="T52" s="100"/>
      <c r="U52" s="97">
        <f>SUM(U48:U51)</f>
        <v>6080</v>
      </c>
      <c r="V52" s="98">
        <v>2</v>
      </c>
      <c r="W52" s="97">
        <f>SUM(W48:W51)</f>
        <v>12160</v>
      </c>
      <c r="X52" s="97">
        <f>SUM(X48:X51)</f>
        <v>0</v>
      </c>
      <c r="Y52" s="97">
        <f>SUM(Y48:Y51)</f>
        <v>12160</v>
      </c>
      <c r="Z52" s="100"/>
      <c r="AA52" s="75"/>
      <c r="AB52" s="78">
        <v>2</v>
      </c>
      <c r="AC52" s="75">
        <f>SUM(AC48:AC51)</f>
        <v>22480</v>
      </c>
      <c r="AD52" s="75">
        <f>SUM(AD48:AD51)</f>
        <v>0</v>
      </c>
      <c r="AE52" s="75">
        <f>SUM(AE48:AE51)</f>
        <v>22480</v>
      </c>
      <c r="AF52" s="97">
        <f>SUM(AF48:AF51)</f>
        <v>6080</v>
      </c>
      <c r="AG52" s="98">
        <v>2</v>
      </c>
      <c r="AH52" s="97">
        <f>SUM(AH48:AH51)</f>
        <v>12160</v>
      </c>
      <c r="AI52" s="97">
        <f>SUM(AI48:AI51)</f>
        <v>0</v>
      </c>
      <c r="AJ52" s="97">
        <f>SUM(AJ48:AJ51)</f>
        <v>12160</v>
      </c>
      <c r="AK52" s="78">
        <f>AG52+V52+E52</f>
        <v>6</v>
      </c>
      <c r="AL52" s="97">
        <f>SUM(AL48:AL51)</f>
        <v>36480</v>
      </c>
      <c r="AM52" s="97">
        <f>SUM(AM48:AM51)</f>
        <v>0</v>
      </c>
      <c r="AN52" s="97">
        <f>SUM(AN48:AN51)</f>
        <v>36480</v>
      </c>
      <c r="AO52" s="101">
        <f>SUM(AO48:AO51)</f>
        <v>0</v>
      </c>
      <c r="AP52" s="49"/>
      <c r="AQ52" s="79"/>
      <c r="AR52" s="75">
        <f>SUM(AR48:AR51)</f>
        <v>0</v>
      </c>
      <c r="AS52" s="75">
        <f>SUM(AS48:AS51)</f>
        <v>11240</v>
      </c>
      <c r="AT52" s="75">
        <f>SUM(AT48:AT51)</f>
        <v>0</v>
      </c>
      <c r="AU52" s="75">
        <f>SUM(AU48:AU51)</f>
        <v>11240</v>
      </c>
      <c r="AV52" s="71">
        <f>AR52+AS52+AT52+AU52</f>
        <v>22480</v>
      </c>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row>
    <row r="53" spans="1:90" ht="31.5" x14ac:dyDescent="0.25">
      <c r="A53" s="80">
        <v>2.4</v>
      </c>
      <c r="B53" s="81" t="s">
        <v>142</v>
      </c>
      <c r="C53" s="121"/>
      <c r="D53" s="122"/>
      <c r="E53" s="122"/>
      <c r="F53" s="122"/>
      <c r="G53" s="122"/>
      <c r="H53" s="122"/>
      <c r="I53" s="122"/>
      <c r="J53" s="122"/>
      <c r="K53" s="122"/>
      <c r="L53" s="122"/>
      <c r="M53" s="122"/>
      <c r="N53" s="100"/>
      <c r="O53" s="122"/>
      <c r="P53" s="122"/>
      <c r="Q53" s="122"/>
      <c r="R53" s="122"/>
      <c r="S53" s="122"/>
      <c r="T53" s="100"/>
      <c r="U53" s="122"/>
      <c r="V53" s="122"/>
      <c r="W53" s="122"/>
      <c r="X53" s="122"/>
      <c r="Y53" s="122"/>
      <c r="Z53" s="100"/>
      <c r="AA53" s="122"/>
      <c r="AB53" s="122"/>
      <c r="AC53" s="122"/>
      <c r="AD53" s="122"/>
      <c r="AE53" s="122"/>
      <c r="AF53" s="122"/>
      <c r="AG53" s="122"/>
      <c r="AH53" s="122"/>
      <c r="AI53" s="122"/>
      <c r="AJ53" s="122"/>
      <c r="AK53" s="122"/>
      <c r="AL53" s="122"/>
      <c r="AM53" s="122"/>
      <c r="AN53" s="122"/>
      <c r="AO53" s="123"/>
      <c r="AP53" s="49"/>
      <c r="AQ53" s="4"/>
      <c r="AR53" s="65"/>
      <c r="AS53" s="65"/>
      <c r="AT53" s="65"/>
      <c r="AU53" s="65"/>
      <c r="AV53" s="65"/>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row>
    <row r="54" spans="1:90" ht="25.5" x14ac:dyDescent="0.25">
      <c r="A54" s="124" t="s">
        <v>143</v>
      </c>
      <c r="B54" s="51" t="s">
        <v>121</v>
      </c>
      <c r="C54" s="91" t="s">
        <v>62</v>
      </c>
      <c r="D54" s="125">
        <v>2500</v>
      </c>
      <c r="E54" s="125">
        <v>1</v>
      </c>
      <c r="F54" s="56">
        <f>D54*E54</f>
        <v>2500</v>
      </c>
      <c r="G54" s="125"/>
      <c r="H54" s="56">
        <f>F54+G54</f>
        <v>2500</v>
      </c>
      <c r="I54" s="56">
        <v>1</v>
      </c>
      <c r="J54" s="56">
        <v>2500</v>
      </c>
      <c r="K54" s="56">
        <f>I54*J54</f>
        <v>2500</v>
      </c>
      <c r="L54" s="56"/>
      <c r="M54" s="57">
        <f>K54+L54</f>
        <v>2500</v>
      </c>
      <c r="N54" s="67"/>
      <c r="O54" s="56"/>
      <c r="P54" s="56">
        <f>M54</f>
        <v>2500</v>
      </c>
      <c r="Q54" s="56"/>
      <c r="R54" s="56"/>
      <c r="S54" s="58">
        <f>O54+P54+Q54+R54</f>
        <v>2500</v>
      </c>
      <c r="T54" s="67"/>
      <c r="U54" s="125">
        <v>2500</v>
      </c>
      <c r="V54" s="125">
        <v>2</v>
      </c>
      <c r="W54" s="64">
        <f>U54*V54</f>
        <v>5000</v>
      </c>
      <c r="X54" s="125"/>
      <c r="Y54" s="56">
        <f>W54+X54</f>
        <v>5000</v>
      </c>
      <c r="Z54" s="67"/>
      <c r="AA54" s="56">
        <v>2500</v>
      </c>
      <c r="AB54" s="56">
        <v>2</v>
      </c>
      <c r="AC54" s="56">
        <f>AA54*AB54</f>
        <v>5000</v>
      </c>
      <c r="AD54" s="56"/>
      <c r="AE54" s="56">
        <f>AC54+AD54</f>
        <v>5000</v>
      </c>
      <c r="AF54" s="125">
        <v>2500</v>
      </c>
      <c r="AG54" s="125">
        <v>1</v>
      </c>
      <c r="AH54" s="64">
        <f>AF54*AG54</f>
        <v>2500</v>
      </c>
      <c r="AI54" s="125"/>
      <c r="AJ54" s="56">
        <f>AH54+AI54</f>
        <v>2500</v>
      </c>
      <c r="AK54" s="64">
        <f t="shared" ref="AK54:AM57" si="12">E54+V54+AG54</f>
        <v>4</v>
      </c>
      <c r="AL54" s="64">
        <f t="shared" si="12"/>
        <v>10000</v>
      </c>
      <c r="AM54" s="64">
        <f t="shared" si="12"/>
        <v>0</v>
      </c>
      <c r="AN54" s="57">
        <f>AL54+AM54</f>
        <v>10000</v>
      </c>
      <c r="AO54" s="126"/>
      <c r="AP54" s="49"/>
      <c r="AQ54" s="4"/>
      <c r="AR54" s="49">
        <v>2500</v>
      </c>
      <c r="AS54" s="49"/>
      <c r="AT54" s="49">
        <v>2500</v>
      </c>
      <c r="AU54" s="49"/>
      <c r="AV54" s="71">
        <f>AR54+AS54+AT54+AU54</f>
        <v>5000</v>
      </c>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row>
    <row r="55" spans="1:90" ht="25.5" x14ac:dyDescent="0.25">
      <c r="A55" s="124" t="s">
        <v>144</v>
      </c>
      <c r="B55" s="51" t="s">
        <v>145</v>
      </c>
      <c r="C55" s="91" t="s">
        <v>70</v>
      </c>
      <c r="D55" s="125">
        <v>3360</v>
      </c>
      <c r="E55" s="125">
        <v>1</v>
      </c>
      <c r="F55" s="56">
        <f>D55*E55</f>
        <v>3360</v>
      </c>
      <c r="G55" s="125"/>
      <c r="H55" s="56">
        <f>F55+G55</f>
        <v>3360</v>
      </c>
      <c r="I55" s="56">
        <v>41</v>
      </c>
      <c r="J55" s="56">
        <v>120</v>
      </c>
      <c r="K55" s="56">
        <f>I55*J55</f>
        <v>4920</v>
      </c>
      <c r="L55" s="56"/>
      <c r="M55" s="57">
        <f>K55+L55</f>
        <v>4920</v>
      </c>
      <c r="N55" s="67"/>
      <c r="O55" s="56"/>
      <c r="P55" s="56">
        <f>M55</f>
        <v>4920</v>
      </c>
      <c r="Q55" s="56"/>
      <c r="R55" s="56"/>
      <c r="S55" s="58">
        <f>O55+P55+Q55+R55</f>
        <v>4920</v>
      </c>
      <c r="T55" s="67"/>
      <c r="U55" s="125">
        <v>3360</v>
      </c>
      <c r="V55" s="125">
        <v>2</v>
      </c>
      <c r="W55" s="64">
        <f>U55*V55</f>
        <v>6720</v>
      </c>
      <c r="X55" s="125"/>
      <c r="Y55" s="56">
        <f>W55+X55</f>
        <v>6720</v>
      </c>
      <c r="Z55" s="67"/>
      <c r="AA55" s="56">
        <v>4920</v>
      </c>
      <c r="AB55" s="56">
        <v>2</v>
      </c>
      <c r="AC55" s="56">
        <f>AA55*AB55</f>
        <v>9840</v>
      </c>
      <c r="AD55" s="56"/>
      <c r="AE55" s="56">
        <f>AC55+AD55</f>
        <v>9840</v>
      </c>
      <c r="AF55" s="125">
        <v>3360</v>
      </c>
      <c r="AG55" s="125">
        <v>1</v>
      </c>
      <c r="AH55" s="64">
        <f>AF55*AG55</f>
        <v>3360</v>
      </c>
      <c r="AI55" s="125"/>
      <c r="AJ55" s="56">
        <f>AH55+AI55</f>
        <v>3360</v>
      </c>
      <c r="AK55" s="64">
        <f t="shared" si="12"/>
        <v>4</v>
      </c>
      <c r="AL55" s="64">
        <f t="shared" si="12"/>
        <v>13440</v>
      </c>
      <c r="AM55" s="64">
        <f t="shared" si="12"/>
        <v>0</v>
      </c>
      <c r="AN55" s="57">
        <f>AL55+AM55</f>
        <v>13440</v>
      </c>
      <c r="AO55" s="126"/>
      <c r="AP55" s="49" t="s">
        <v>71</v>
      </c>
      <c r="AQ55" s="4"/>
      <c r="AR55" s="49">
        <v>4920</v>
      </c>
      <c r="AS55" s="49"/>
      <c r="AT55" s="49">
        <v>4920</v>
      </c>
      <c r="AU55" s="49"/>
      <c r="AV55" s="71">
        <f>AR55+AS55+AT55+AU55</f>
        <v>9840</v>
      </c>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row>
    <row r="56" spans="1:90" ht="51" x14ac:dyDescent="0.25">
      <c r="A56" s="124" t="s">
        <v>146</v>
      </c>
      <c r="B56" s="51" t="s">
        <v>147</v>
      </c>
      <c r="C56" s="91" t="s">
        <v>74</v>
      </c>
      <c r="D56" s="125">
        <v>3500</v>
      </c>
      <c r="E56" s="125">
        <v>1</v>
      </c>
      <c r="F56" s="56">
        <f>D56*E56</f>
        <v>3500</v>
      </c>
      <c r="G56" s="125"/>
      <c r="H56" s="56">
        <f>F56+G56</f>
        <v>3500</v>
      </c>
      <c r="I56" s="56">
        <v>2</v>
      </c>
      <c r="J56" s="56">
        <v>2500</v>
      </c>
      <c r="K56" s="56">
        <f>I56*J56</f>
        <v>5000</v>
      </c>
      <c r="L56" s="56"/>
      <c r="M56" s="57">
        <f>K56+L56</f>
        <v>5000</v>
      </c>
      <c r="N56" s="67"/>
      <c r="O56" s="56"/>
      <c r="P56" s="56">
        <f>M56</f>
        <v>5000</v>
      </c>
      <c r="Q56" s="56"/>
      <c r="R56" s="56"/>
      <c r="S56" s="58">
        <f>O56+P56+Q56+R56</f>
        <v>5000</v>
      </c>
      <c r="T56" s="67"/>
      <c r="U56" s="125">
        <v>3500</v>
      </c>
      <c r="V56" s="125">
        <v>2</v>
      </c>
      <c r="W56" s="64">
        <f>U56*V56</f>
        <v>7000</v>
      </c>
      <c r="X56" s="125"/>
      <c r="Y56" s="56">
        <f>W56+X56</f>
        <v>7000</v>
      </c>
      <c r="Z56" s="67"/>
      <c r="AA56" s="56">
        <v>2500</v>
      </c>
      <c r="AB56" s="67">
        <v>4</v>
      </c>
      <c r="AC56" s="56">
        <f>AA56*AB56</f>
        <v>10000</v>
      </c>
      <c r="AD56" s="56"/>
      <c r="AE56" s="56">
        <f>AC56+AD56</f>
        <v>10000</v>
      </c>
      <c r="AF56" s="125">
        <v>3500</v>
      </c>
      <c r="AG56" s="125">
        <v>1</v>
      </c>
      <c r="AH56" s="64">
        <f>AF56*AG56</f>
        <v>3500</v>
      </c>
      <c r="AI56" s="125"/>
      <c r="AJ56" s="56">
        <f>AH56+AI56</f>
        <v>3500</v>
      </c>
      <c r="AK56" s="64">
        <f t="shared" si="12"/>
        <v>4</v>
      </c>
      <c r="AL56" s="64">
        <f t="shared" si="12"/>
        <v>14000</v>
      </c>
      <c r="AM56" s="64">
        <f t="shared" si="12"/>
        <v>0</v>
      </c>
      <c r="AN56" s="57">
        <f>AL56+AM56</f>
        <v>14000</v>
      </c>
      <c r="AO56" s="126"/>
      <c r="AP56" s="47" t="s">
        <v>138</v>
      </c>
      <c r="AQ56" s="4">
        <f>2500*2*2</f>
        <v>10000</v>
      </c>
      <c r="AR56" s="49">
        <v>5000</v>
      </c>
      <c r="AS56" s="49"/>
      <c r="AT56" s="49">
        <v>5000</v>
      </c>
      <c r="AU56" s="49"/>
      <c r="AV56" s="71">
        <f>AR56+AS56+AT56+AU56</f>
        <v>10000</v>
      </c>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row>
    <row r="57" spans="1:90" x14ac:dyDescent="0.25">
      <c r="A57" s="124" t="s">
        <v>148</v>
      </c>
      <c r="B57" s="51" t="s">
        <v>77</v>
      </c>
      <c r="C57" s="91" t="s">
        <v>78</v>
      </c>
      <c r="D57" s="125">
        <v>500</v>
      </c>
      <c r="E57" s="125">
        <v>1</v>
      </c>
      <c r="F57" s="56">
        <f>D57*E57</f>
        <v>500</v>
      </c>
      <c r="G57" s="125"/>
      <c r="H57" s="56">
        <f>F57+G57</f>
        <v>500</v>
      </c>
      <c r="I57" s="56">
        <v>35</v>
      </c>
      <c r="J57" s="56">
        <v>50</v>
      </c>
      <c r="K57" s="56">
        <f>I57*J57</f>
        <v>1750</v>
      </c>
      <c r="L57" s="56"/>
      <c r="M57" s="57">
        <f>K57+L57</f>
        <v>1750</v>
      </c>
      <c r="N57" s="67"/>
      <c r="O57" s="56"/>
      <c r="P57" s="56">
        <f>M57</f>
        <v>1750</v>
      </c>
      <c r="Q57" s="56"/>
      <c r="R57" s="56"/>
      <c r="S57" s="58">
        <f>O57+P57+Q57+R57</f>
        <v>1750</v>
      </c>
      <c r="T57" s="67"/>
      <c r="U57" s="125">
        <v>500</v>
      </c>
      <c r="V57" s="125">
        <v>2</v>
      </c>
      <c r="W57" s="64">
        <f>U57*V57</f>
        <v>1000</v>
      </c>
      <c r="X57" s="125"/>
      <c r="Y57" s="56">
        <f>W57+X57</f>
        <v>1000</v>
      </c>
      <c r="Z57" s="67"/>
      <c r="AA57" s="56">
        <v>500</v>
      </c>
      <c r="AB57" s="56">
        <v>2</v>
      </c>
      <c r="AC57" s="56">
        <f>AA57*AB57</f>
        <v>1000</v>
      </c>
      <c r="AD57" s="56"/>
      <c r="AE57" s="56">
        <f>AC57+AD57</f>
        <v>1000</v>
      </c>
      <c r="AF57" s="125">
        <v>500</v>
      </c>
      <c r="AG57" s="125">
        <v>1</v>
      </c>
      <c r="AH57" s="64">
        <f>AF57*AG57</f>
        <v>500</v>
      </c>
      <c r="AI57" s="125"/>
      <c r="AJ57" s="56">
        <f>AH57+AI57</f>
        <v>500</v>
      </c>
      <c r="AK57" s="64">
        <f t="shared" si="12"/>
        <v>4</v>
      </c>
      <c r="AL57" s="64">
        <f t="shared" si="12"/>
        <v>2000</v>
      </c>
      <c r="AM57" s="64">
        <f t="shared" si="12"/>
        <v>0</v>
      </c>
      <c r="AN57" s="57">
        <f>AL57+AM57</f>
        <v>2000</v>
      </c>
      <c r="AO57" s="126"/>
      <c r="AP57" s="49"/>
      <c r="AQ57" s="4"/>
      <c r="AR57" s="49">
        <v>500</v>
      </c>
      <c r="AS57" s="49"/>
      <c r="AT57" s="49">
        <v>500</v>
      </c>
      <c r="AU57" s="49"/>
      <c r="AV57" s="71">
        <f>AR57+AS57+AT57+AU57</f>
        <v>1000</v>
      </c>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row>
    <row r="58" spans="1:90" ht="15.75" x14ac:dyDescent="0.25">
      <c r="A58" s="94"/>
      <c r="B58" s="95" t="s">
        <v>149</v>
      </c>
      <c r="C58" s="96"/>
      <c r="D58" s="97">
        <f>SUM(D54:D57)</f>
        <v>9860</v>
      </c>
      <c r="E58" s="98">
        <v>1</v>
      </c>
      <c r="F58" s="97">
        <f>SUM(F54:F57)</f>
        <v>9860</v>
      </c>
      <c r="G58" s="97">
        <f>SUM(G54:G57)</f>
        <v>0</v>
      </c>
      <c r="H58" s="97">
        <f>SUM(H54:H57)</f>
        <v>9860</v>
      </c>
      <c r="I58" s="99">
        <v>1</v>
      </c>
      <c r="J58" s="97"/>
      <c r="K58" s="97">
        <f>SUM(K54:K57)</f>
        <v>14170</v>
      </c>
      <c r="L58" s="97">
        <f>SUM(L54:L57)</f>
        <v>0</v>
      </c>
      <c r="M58" s="97">
        <f>SUM(M54:M57)</f>
        <v>14170</v>
      </c>
      <c r="N58" s="100"/>
      <c r="O58" s="97">
        <f>SUM(O54:O57)</f>
        <v>0</v>
      </c>
      <c r="P58" s="97">
        <f>SUM(P54:P57)</f>
        <v>14170</v>
      </c>
      <c r="Q58" s="97">
        <f>SUM(Q54:Q57)</f>
        <v>0</v>
      </c>
      <c r="R58" s="97">
        <f>SUM(R54:R57)</f>
        <v>0</v>
      </c>
      <c r="S58" s="58">
        <f>O58+P58+Q58+R58</f>
        <v>14170</v>
      </c>
      <c r="T58" s="100"/>
      <c r="U58" s="97">
        <f>SUM(U54:U57)</f>
        <v>9860</v>
      </c>
      <c r="V58" s="98">
        <v>2</v>
      </c>
      <c r="W58" s="97">
        <f>SUM(W54:W57)</f>
        <v>19720</v>
      </c>
      <c r="X58" s="97">
        <f>SUM(X54:X57)</f>
        <v>0</v>
      </c>
      <c r="Y58" s="97">
        <f>SUM(Y54:Y57)</f>
        <v>19720</v>
      </c>
      <c r="Z58" s="100"/>
      <c r="AA58" s="75"/>
      <c r="AB58" s="78">
        <v>2</v>
      </c>
      <c r="AC58" s="75">
        <f>SUM(AC54:AC57)</f>
        <v>25840</v>
      </c>
      <c r="AD58" s="75">
        <f>SUM(AD54:AD57)</f>
        <v>0</v>
      </c>
      <c r="AE58" s="75">
        <f>SUM(AE54:AE57)</f>
        <v>25840</v>
      </c>
      <c r="AF58" s="97">
        <f>SUM(AF54:AF57)</f>
        <v>9860</v>
      </c>
      <c r="AG58" s="98">
        <v>1</v>
      </c>
      <c r="AH58" s="97">
        <f>SUM(AH54:AH57)</f>
        <v>9860</v>
      </c>
      <c r="AI58" s="97">
        <f>SUM(AI54:AI57)</f>
        <v>0</v>
      </c>
      <c r="AJ58" s="97">
        <f>SUM(AJ54:AJ57)</f>
        <v>9860</v>
      </c>
      <c r="AK58" s="78">
        <f>AG58+V58+E58</f>
        <v>4</v>
      </c>
      <c r="AL58" s="97">
        <f>SUM(AL54:AL57)</f>
        <v>39440</v>
      </c>
      <c r="AM58" s="97">
        <f>SUM(AM54:AM57)</f>
        <v>0</v>
      </c>
      <c r="AN58" s="97">
        <f>SUM(AN54:AN57)</f>
        <v>39440</v>
      </c>
      <c r="AO58" s="101">
        <f>SUM(AO54:AO57)</f>
        <v>0</v>
      </c>
      <c r="AP58" s="49"/>
      <c r="AQ58" s="79"/>
      <c r="AR58" s="75">
        <f>SUM(AR54:AR57)</f>
        <v>12920</v>
      </c>
      <c r="AS58" s="75">
        <f>SUM(AS54:AS57)</f>
        <v>0</v>
      </c>
      <c r="AT58" s="75">
        <f>SUM(AT54:AT57)</f>
        <v>12920</v>
      </c>
      <c r="AU58" s="75">
        <f>SUM(AU54:AU57)</f>
        <v>0</v>
      </c>
      <c r="AV58" s="71">
        <f>AR58+AS58+AT58+AU58</f>
        <v>25840</v>
      </c>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row>
    <row r="59" spans="1:90" ht="63" x14ac:dyDescent="0.25">
      <c r="A59" s="80">
        <v>2.5</v>
      </c>
      <c r="B59" s="81" t="s">
        <v>150</v>
      </c>
      <c r="C59" s="121"/>
      <c r="D59" s="122"/>
      <c r="E59" s="122"/>
      <c r="F59" s="122"/>
      <c r="G59" s="122"/>
      <c r="H59" s="122"/>
      <c r="I59" s="122"/>
      <c r="J59" s="122"/>
      <c r="K59" s="122"/>
      <c r="L59" s="122"/>
      <c r="M59" s="122"/>
      <c r="N59" s="100"/>
      <c r="O59" s="122"/>
      <c r="P59" s="122"/>
      <c r="Q59" s="122"/>
      <c r="R59" s="122"/>
      <c r="S59" s="122"/>
      <c r="T59" s="100"/>
      <c r="U59" s="122"/>
      <c r="V59" s="122"/>
      <c r="W59" s="122"/>
      <c r="X59" s="122"/>
      <c r="Y59" s="122"/>
      <c r="Z59" s="100"/>
      <c r="AA59" s="122"/>
      <c r="AB59" s="122"/>
      <c r="AC59" s="122"/>
      <c r="AD59" s="122"/>
      <c r="AE59" s="122"/>
      <c r="AF59" s="122"/>
      <c r="AG59" s="122"/>
      <c r="AH59" s="122"/>
      <c r="AI59" s="122"/>
      <c r="AJ59" s="122"/>
      <c r="AK59" s="122"/>
      <c r="AL59" s="122"/>
      <c r="AM59" s="122"/>
      <c r="AN59" s="122"/>
      <c r="AO59" s="123"/>
      <c r="AP59" s="49"/>
      <c r="AQ59" s="4"/>
      <c r="AR59" s="65"/>
      <c r="AS59" s="65"/>
      <c r="AT59" s="65"/>
      <c r="AU59" s="65"/>
      <c r="AV59" s="65"/>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row>
    <row r="60" spans="1:90" ht="38.25" x14ac:dyDescent="0.25">
      <c r="A60" s="124" t="s">
        <v>151</v>
      </c>
      <c r="B60" s="51" t="s">
        <v>152</v>
      </c>
      <c r="C60" s="91" t="s">
        <v>62</v>
      </c>
      <c r="D60" s="125">
        <v>2000</v>
      </c>
      <c r="E60" s="125">
        <v>2</v>
      </c>
      <c r="F60" s="56">
        <f>D60*E60</f>
        <v>4000</v>
      </c>
      <c r="G60" s="125"/>
      <c r="H60" s="56">
        <f>F60+G60</f>
        <v>4000</v>
      </c>
      <c r="I60" s="56">
        <v>2</v>
      </c>
      <c r="J60" s="56">
        <v>2000</v>
      </c>
      <c r="K60" s="56">
        <f>I60*J60</f>
        <v>4000</v>
      </c>
      <c r="L60" s="56"/>
      <c r="M60" s="57">
        <f>K60+L60</f>
        <v>4000</v>
      </c>
      <c r="N60" s="67"/>
      <c r="O60" s="56"/>
      <c r="P60" s="56">
        <f>M60/2</f>
        <v>2000</v>
      </c>
      <c r="Q60" s="56"/>
      <c r="R60" s="56">
        <f>M60/2</f>
        <v>2000</v>
      </c>
      <c r="S60" s="58">
        <f>O60+P60+Q60+R60</f>
        <v>4000</v>
      </c>
      <c r="T60" s="67"/>
      <c r="U60" s="125">
        <v>0</v>
      </c>
      <c r="V60" s="125"/>
      <c r="W60" s="64">
        <f>U60*V60</f>
        <v>0</v>
      </c>
      <c r="X60" s="125"/>
      <c r="Y60" s="56">
        <f>W60+X60</f>
        <v>0</v>
      </c>
      <c r="Z60" s="67"/>
      <c r="AA60" s="56">
        <v>0</v>
      </c>
      <c r="AB60" s="56"/>
      <c r="AC60" s="56">
        <f>AA60*AB60</f>
        <v>0</v>
      </c>
      <c r="AD60" s="56"/>
      <c r="AE60" s="56">
        <f>AC60+AD60</f>
        <v>0</v>
      </c>
      <c r="AF60" s="125">
        <v>0</v>
      </c>
      <c r="AG60" s="125">
        <v>0</v>
      </c>
      <c r="AH60" s="64">
        <f>AF60*AG60</f>
        <v>0</v>
      </c>
      <c r="AI60" s="125"/>
      <c r="AJ60" s="56">
        <f>AH60+AI60</f>
        <v>0</v>
      </c>
      <c r="AK60" s="64">
        <f t="shared" ref="AK60:AM63" si="13">E60+V60+AG60</f>
        <v>2</v>
      </c>
      <c r="AL60" s="64">
        <f t="shared" si="13"/>
        <v>4000</v>
      </c>
      <c r="AM60" s="64">
        <f t="shared" si="13"/>
        <v>0</v>
      </c>
      <c r="AN60" s="57">
        <f>AL60+AM60</f>
        <v>4000</v>
      </c>
      <c r="AO60" s="126"/>
      <c r="AP60" s="49"/>
      <c r="AQ60" s="4">
        <v>0</v>
      </c>
      <c r="AR60" s="49"/>
      <c r="AS60" s="49"/>
      <c r="AT60" s="49"/>
      <c r="AU60" s="49"/>
      <c r="AV60" s="71">
        <f>AR60+AS60+AT60+AU60</f>
        <v>0</v>
      </c>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row>
    <row r="61" spans="1:90" ht="39.75" customHeight="1" x14ac:dyDescent="0.25">
      <c r="A61" s="124" t="s">
        <v>153</v>
      </c>
      <c r="B61" s="51" t="s">
        <v>154</v>
      </c>
      <c r="C61" s="91" t="s">
        <v>70</v>
      </c>
      <c r="D61" s="125">
        <v>3360</v>
      </c>
      <c r="E61" s="125">
        <v>2</v>
      </c>
      <c r="F61" s="56">
        <f>D61*E61</f>
        <v>6720</v>
      </c>
      <c r="G61" s="125"/>
      <c r="H61" s="56">
        <f>F61+G61</f>
        <v>6720</v>
      </c>
      <c r="I61" s="56">
        <v>82</v>
      </c>
      <c r="J61" s="56">
        <v>120</v>
      </c>
      <c r="K61" s="56">
        <f>I61*J61</f>
        <v>9840</v>
      </c>
      <c r="L61" s="56"/>
      <c r="M61" s="57">
        <f>K61+L61</f>
        <v>9840</v>
      </c>
      <c r="N61" s="67"/>
      <c r="O61" s="56"/>
      <c r="P61" s="56">
        <f>M61/2</f>
        <v>4920</v>
      </c>
      <c r="Q61" s="56"/>
      <c r="R61" s="56">
        <f>M61/2</f>
        <v>4920</v>
      </c>
      <c r="S61" s="58">
        <f>O61+P61+Q61+R61</f>
        <v>9840</v>
      </c>
      <c r="T61" s="67"/>
      <c r="U61" s="100">
        <v>3360</v>
      </c>
      <c r="V61" s="125">
        <v>3</v>
      </c>
      <c r="W61" s="64">
        <f>U61*V61</f>
        <v>10080</v>
      </c>
      <c r="X61" s="125"/>
      <c r="Y61" s="56">
        <f>W61+X61</f>
        <v>10080</v>
      </c>
      <c r="Z61" s="67"/>
      <c r="AA61" s="56">
        <v>4920</v>
      </c>
      <c r="AB61" s="56">
        <v>3</v>
      </c>
      <c r="AC61" s="56">
        <f>AA61*AB61</f>
        <v>14760</v>
      </c>
      <c r="AD61" s="56"/>
      <c r="AE61" s="56">
        <f>AC61+AD61</f>
        <v>14760</v>
      </c>
      <c r="AF61" s="125">
        <v>3360</v>
      </c>
      <c r="AG61" s="127">
        <v>3</v>
      </c>
      <c r="AH61" s="64">
        <f>AF61*AG61</f>
        <v>10080</v>
      </c>
      <c r="AI61" s="125"/>
      <c r="AJ61" s="56">
        <f>AH61+AI61</f>
        <v>10080</v>
      </c>
      <c r="AK61" s="64">
        <f t="shared" si="13"/>
        <v>8</v>
      </c>
      <c r="AL61" s="64">
        <f t="shared" si="13"/>
        <v>26880</v>
      </c>
      <c r="AM61" s="64">
        <f t="shared" si="13"/>
        <v>0</v>
      </c>
      <c r="AN61" s="57">
        <f>AL61+AM61</f>
        <v>26880</v>
      </c>
      <c r="AO61" s="128" t="s">
        <v>155</v>
      </c>
      <c r="AP61" s="49" t="s">
        <v>71</v>
      </c>
      <c r="AQ61" s="4"/>
      <c r="AR61" s="49">
        <v>4920</v>
      </c>
      <c r="AS61" s="49"/>
      <c r="AT61" s="49">
        <v>4920</v>
      </c>
      <c r="AU61" s="49">
        <v>4920</v>
      </c>
      <c r="AV61" s="71">
        <f>AR61+AS61+AT61+AU61</f>
        <v>14760</v>
      </c>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row>
    <row r="62" spans="1:90" ht="51" x14ac:dyDescent="0.25">
      <c r="A62" s="124" t="s">
        <v>156</v>
      </c>
      <c r="B62" s="51" t="s">
        <v>157</v>
      </c>
      <c r="C62" s="91" t="s">
        <v>74</v>
      </c>
      <c r="D62" s="125">
        <v>3500</v>
      </c>
      <c r="E62" s="125">
        <v>2</v>
      </c>
      <c r="F62" s="56">
        <f>D62*E62</f>
        <v>7000</v>
      </c>
      <c r="G62" s="125"/>
      <c r="H62" s="56">
        <f>F62+G62</f>
        <v>7000</v>
      </c>
      <c r="I62" s="56">
        <f>2*2</f>
        <v>4</v>
      </c>
      <c r="J62" s="56">
        <v>2500</v>
      </c>
      <c r="K62" s="56">
        <f>I62*J62</f>
        <v>10000</v>
      </c>
      <c r="L62" s="56"/>
      <c r="M62" s="57">
        <f>K62+L62</f>
        <v>10000</v>
      </c>
      <c r="N62" s="67"/>
      <c r="O62" s="56"/>
      <c r="P62" s="56">
        <f>M62/2</f>
        <v>5000</v>
      </c>
      <c r="Q62" s="56"/>
      <c r="R62" s="56">
        <f>M62/2</f>
        <v>5000</v>
      </c>
      <c r="S62" s="58">
        <f>O62+P62+Q62+R62</f>
        <v>10000</v>
      </c>
      <c r="T62" s="67"/>
      <c r="U62" s="100">
        <v>3500</v>
      </c>
      <c r="V62" s="125">
        <v>3</v>
      </c>
      <c r="W62" s="64">
        <f>U62*V62</f>
        <v>10500</v>
      </c>
      <c r="X62" s="125"/>
      <c r="Y62" s="56">
        <f>W62+X62</f>
        <v>10500</v>
      </c>
      <c r="Z62" s="67"/>
      <c r="AA62" s="56">
        <v>2500</v>
      </c>
      <c r="AB62" s="67">
        <v>6</v>
      </c>
      <c r="AC62" s="56">
        <f>AA62*AB62</f>
        <v>15000</v>
      </c>
      <c r="AD62" s="56"/>
      <c r="AE62" s="56">
        <f>AC62+AD62</f>
        <v>15000</v>
      </c>
      <c r="AF62" s="125">
        <v>3500</v>
      </c>
      <c r="AG62" s="127">
        <v>3</v>
      </c>
      <c r="AH62" s="64">
        <f>AF62*AG62</f>
        <v>10500</v>
      </c>
      <c r="AI62" s="125"/>
      <c r="AJ62" s="56">
        <f>AH62+AI62</f>
        <v>10500</v>
      </c>
      <c r="AK62" s="64">
        <f t="shared" si="13"/>
        <v>8</v>
      </c>
      <c r="AL62" s="64">
        <f t="shared" si="13"/>
        <v>28000</v>
      </c>
      <c r="AM62" s="64">
        <f t="shared" si="13"/>
        <v>0</v>
      </c>
      <c r="AN62" s="57">
        <f>AL62+AM62</f>
        <v>28000</v>
      </c>
      <c r="AO62" s="126"/>
      <c r="AP62" s="47" t="s">
        <v>158</v>
      </c>
      <c r="AQ62" s="4">
        <f>2500*3*2</f>
        <v>15000</v>
      </c>
      <c r="AR62" s="49">
        <v>5000</v>
      </c>
      <c r="AS62" s="49"/>
      <c r="AT62" s="49">
        <v>5000</v>
      </c>
      <c r="AU62" s="49">
        <v>5000</v>
      </c>
      <c r="AV62" s="71">
        <f>AR62+AS62+AT62+AU62</f>
        <v>15000</v>
      </c>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row>
    <row r="63" spans="1:90" ht="25.5" x14ac:dyDescent="0.25">
      <c r="A63" s="124" t="s">
        <v>159</v>
      </c>
      <c r="B63" s="51" t="s">
        <v>160</v>
      </c>
      <c r="C63" s="91" t="s">
        <v>161</v>
      </c>
      <c r="D63" s="125">
        <v>500</v>
      </c>
      <c r="E63" s="125">
        <v>2</v>
      </c>
      <c r="F63" s="56">
        <f>D63*E63</f>
        <v>1000</v>
      </c>
      <c r="G63" s="125"/>
      <c r="H63" s="56">
        <f>F63+G63</f>
        <v>1000</v>
      </c>
      <c r="I63" s="56">
        <f>35*2</f>
        <v>70</v>
      </c>
      <c r="J63" s="56">
        <v>50</v>
      </c>
      <c r="K63" s="56"/>
      <c r="L63" s="56"/>
      <c r="M63" s="57">
        <f>K63+L63</f>
        <v>0</v>
      </c>
      <c r="N63" s="67"/>
      <c r="O63" s="56"/>
      <c r="P63" s="56">
        <f>M63/2</f>
        <v>0</v>
      </c>
      <c r="Q63" s="56"/>
      <c r="R63" s="56">
        <f>M63/2</f>
        <v>0</v>
      </c>
      <c r="S63" s="58">
        <f>O63+P63+Q63+R63</f>
        <v>0</v>
      </c>
      <c r="T63" s="67"/>
      <c r="U63" s="125">
        <v>500</v>
      </c>
      <c r="V63" s="125">
        <v>3</v>
      </c>
      <c r="W63" s="64">
        <f>U63*V63</f>
        <v>1500</v>
      </c>
      <c r="X63" s="125"/>
      <c r="Y63" s="56">
        <f>W63+X63</f>
        <v>1500</v>
      </c>
      <c r="Z63" s="67"/>
      <c r="AA63" s="56">
        <v>500</v>
      </c>
      <c r="AB63" s="56">
        <v>3</v>
      </c>
      <c r="AC63" s="56">
        <f>AA63*AB63</f>
        <v>1500</v>
      </c>
      <c r="AD63" s="56"/>
      <c r="AE63" s="56">
        <f>AC63+AD63</f>
        <v>1500</v>
      </c>
      <c r="AF63" s="125">
        <v>500</v>
      </c>
      <c r="AG63" s="127">
        <v>3</v>
      </c>
      <c r="AH63" s="64">
        <f>AF63*AG63</f>
        <v>1500</v>
      </c>
      <c r="AI63" s="125"/>
      <c r="AJ63" s="56">
        <f>AH63+AI63</f>
        <v>1500</v>
      </c>
      <c r="AK63" s="64">
        <f t="shared" si="13"/>
        <v>8</v>
      </c>
      <c r="AL63" s="64">
        <f t="shared" si="13"/>
        <v>4000</v>
      </c>
      <c r="AM63" s="64">
        <f t="shared" si="13"/>
        <v>0</v>
      </c>
      <c r="AN63" s="57">
        <f>AL63+AM63</f>
        <v>4000</v>
      </c>
      <c r="AO63" s="126"/>
      <c r="AP63" s="49"/>
      <c r="AQ63" s="4"/>
      <c r="AR63" s="49">
        <v>500</v>
      </c>
      <c r="AS63" s="49"/>
      <c r="AT63" s="49">
        <v>500</v>
      </c>
      <c r="AU63" s="49">
        <v>500</v>
      </c>
      <c r="AV63" s="71">
        <f>AR63+AS63+AT63+AU63</f>
        <v>1500</v>
      </c>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row>
    <row r="64" spans="1:90" ht="15.75" x14ac:dyDescent="0.25">
      <c r="A64" s="94"/>
      <c r="B64" s="95" t="s">
        <v>162</v>
      </c>
      <c r="C64" s="96"/>
      <c r="D64" s="97">
        <f>SUM(D60:D63)</f>
        <v>9360</v>
      </c>
      <c r="E64" s="98">
        <v>2</v>
      </c>
      <c r="F64" s="97">
        <f>SUM(F60:F63)</f>
        <v>18720</v>
      </c>
      <c r="G64" s="97">
        <f>SUM(G60:G63)</f>
        <v>0</v>
      </c>
      <c r="H64" s="97">
        <f>SUM(H60:H63)</f>
        <v>18720</v>
      </c>
      <c r="I64" s="99">
        <v>2</v>
      </c>
      <c r="J64" s="97"/>
      <c r="K64" s="97">
        <f>SUM(K60:K63)</f>
        <v>23840</v>
      </c>
      <c r="L64" s="97">
        <f>SUM(L60:L63)</f>
        <v>0</v>
      </c>
      <c r="M64" s="97">
        <f>SUM(M60:M63)</f>
        <v>23840</v>
      </c>
      <c r="N64" s="100"/>
      <c r="O64" s="97">
        <f>SUM(O60:O63)</f>
        <v>0</v>
      </c>
      <c r="P64" s="97">
        <f>SUM(P60:P63)</f>
        <v>11920</v>
      </c>
      <c r="Q64" s="97">
        <f>SUM(Q60:Q63)</f>
        <v>0</v>
      </c>
      <c r="R64" s="97">
        <f>SUM(R60:R63)</f>
        <v>11920</v>
      </c>
      <c r="S64" s="58">
        <f>O64+P64+Q64+R64</f>
        <v>23840</v>
      </c>
      <c r="T64" s="100"/>
      <c r="U64" s="97">
        <f>SUM(U60:U63)</f>
        <v>7360</v>
      </c>
      <c r="V64" s="98">
        <v>3</v>
      </c>
      <c r="W64" s="97">
        <f>SUM(W60:W63)</f>
        <v>22080</v>
      </c>
      <c r="X64" s="97">
        <f>SUM(X60:X63)</f>
        <v>0</v>
      </c>
      <c r="Y64" s="97">
        <f>SUM(Y60:Y63)</f>
        <v>22080</v>
      </c>
      <c r="Z64" s="100"/>
      <c r="AA64" s="75"/>
      <c r="AB64" s="78">
        <v>3</v>
      </c>
      <c r="AC64" s="75">
        <f>SUM(AC60:AC63)</f>
        <v>31260</v>
      </c>
      <c r="AD64" s="75">
        <f>SUM(AD60:AD63)</f>
        <v>0</v>
      </c>
      <c r="AE64" s="75">
        <f>SUM(AE60:AE63)</f>
        <v>31260</v>
      </c>
      <c r="AF64" s="97">
        <f>SUM(AF60:AF63)</f>
        <v>7360</v>
      </c>
      <c r="AG64" s="98">
        <v>2</v>
      </c>
      <c r="AH64" s="97">
        <f>SUM(AH60:AH63)</f>
        <v>22080</v>
      </c>
      <c r="AI64" s="97">
        <f>SUM(AI60:AI63)</f>
        <v>0</v>
      </c>
      <c r="AJ64" s="97">
        <f>SUM(AJ60:AJ63)</f>
        <v>22080</v>
      </c>
      <c r="AK64" s="78">
        <f>AG64+V64+E64</f>
        <v>7</v>
      </c>
      <c r="AL64" s="97">
        <f>SUM(AL60:AL63)</f>
        <v>62880</v>
      </c>
      <c r="AM64" s="97">
        <f>SUM(AM60:AM63)</f>
        <v>0</v>
      </c>
      <c r="AN64" s="97">
        <f>SUM(AN60:AN63)</f>
        <v>62880</v>
      </c>
      <c r="AO64" s="101">
        <f>SUM(AO60:AO63)</f>
        <v>0</v>
      </c>
      <c r="AP64" s="49"/>
      <c r="AQ64" s="79"/>
      <c r="AR64" s="75">
        <f>SUM(AR60:AR63)</f>
        <v>10420</v>
      </c>
      <c r="AS64" s="75">
        <f>SUM(AS60:AS63)</f>
        <v>0</v>
      </c>
      <c r="AT64" s="75">
        <f>SUM(AT60:AT63)</f>
        <v>10420</v>
      </c>
      <c r="AU64" s="75">
        <f>SUM(AU60:AU63)</f>
        <v>10420</v>
      </c>
      <c r="AV64" s="71">
        <f>AR64+AS64+AT64+AU64</f>
        <v>31260</v>
      </c>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row>
    <row r="65" spans="1:90" ht="31.5" x14ac:dyDescent="0.25">
      <c r="A65" s="80">
        <v>2.6</v>
      </c>
      <c r="B65" s="81" t="s">
        <v>163</v>
      </c>
      <c r="C65" s="121"/>
      <c r="D65" s="122"/>
      <c r="E65" s="122"/>
      <c r="F65" s="122"/>
      <c r="G65" s="122"/>
      <c r="H65" s="122"/>
      <c r="I65" s="122"/>
      <c r="J65" s="122"/>
      <c r="K65" s="122"/>
      <c r="L65" s="122"/>
      <c r="M65" s="122"/>
      <c r="N65" s="100"/>
      <c r="O65" s="122"/>
      <c r="P65" s="122"/>
      <c r="Q65" s="122"/>
      <c r="R65" s="122"/>
      <c r="S65" s="122"/>
      <c r="T65" s="100"/>
      <c r="U65" s="122"/>
      <c r="V65" s="122"/>
      <c r="W65" s="122"/>
      <c r="X65" s="122"/>
      <c r="Y65" s="122"/>
      <c r="Z65" s="100"/>
      <c r="AA65" s="122"/>
      <c r="AB65" s="122"/>
      <c r="AC65" s="122"/>
      <c r="AD65" s="122"/>
      <c r="AE65" s="122"/>
      <c r="AF65" s="122"/>
      <c r="AG65" s="122"/>
      <c r="AH65" s="122"/>
      <c r="AI65" s="122"/>
      <c r="AJ65" s="122"/>
      <c r="AK65" s="122"/>
      <c r="AL65" s="122"/>
      <c r="AM65" s="122"/>
      <c r="AN65" s="122"/>
      <c r="AO65" s="123"/>
      <c r="AP65" s="49"/>
      <c r="AQ65" s="4"/>
      <c r="AR65" s="65"/>
      <c r="AS65" s="65"/>
      <c r="AT65" s="65"/>
      <c r="AU65" s="65"/>
      <c r="AV65" s="65"/>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row>
    <row r="66" spans="1:90" ht="31.5" customHeight="1" x14ac:dyDescent="0.25">
      <c r="A66" s="124" t="s">
        <v>164</v>
      </c>
      <c r="B66" s="51" t="s">
        <v>165</v>
      </c>
      <c r="C66" s="91" t="s">
        <v>62</v>
      </c>
      <c r="D66" s="125">
        <v>7000</v>
      </c>
      <c r="E66" s="125">
        <v>2</v>
      </c>
      <c r="F66" s="56">
        <f>D66*E66</f>
        <v>14000</v>
      </c>
      <c r="G66" s="125"/>
      <c r="H66" s="56">
        <f>F66+G66</f>
        <v>14000</v>
      </c>
      <c r="I66" s="56">
        <v>6</v>
      </c>
      <c r="J66" s="56">
        <v>1200</v>
      </c>
      <c r="K66" s="56">
        <f>I66*J66</f>
        <v>7200</v>
      </c>
      <c r="L66" s="56"/>
      <c r="M66" s="57">
        <f>K66+L66</f>
        <v>7200</v>
      </c>
      <c r="N66" s="67"/>
      <c r="O66" s="56">
        <v>0</v>
      </c>
      <c r="P66" s="56">
        <f>2*J66</f>
        <v>2400</v>
      </c>
      <c r="Q66" s="56">
        <f>2*J66</f>
        <v>2400</v>
      </c>
      <c r="R66" s="56">
        <f>2*J66</f>
        <v>2400</v>
      </c>
      <c r="S66" s="58">
        <f>O66+P66+Q66+R66</f>
        <v>7200</v>
      </c>
      <c r="T66" s="67"/>
      <c r="U66" s="125">
        <v>7000</v>
      </c>
      <c r="V66" s="125">
        <v>2</v>
      </c>
      <c r="W66" s="64">
        <f>U66*V66</f>
        <v>14000</v>
      </c>
      <c r="X66" s="125"/>
      <c r="Y66" s="56">
        <f>W66+X66</f>
        <v>14000</v>
      </c>
      <c r="Z66" s="67"/>
      <c r="AA66" s="67">
        <v>1200</v>
      </c>
      <c r="AB66" s="67">
        <v>6</v>
      </c>
      <c r="AC66" s="67">
        <f>AA66*AB66</f>
        <v>7200</v>
      </c>
      <c r="AD66" s="67"/>
      <c r="AE66" s="67">
        <f>AC66+AD66</f>
        <v>7200</v>
      </c>
      <c r="AF66" s="100">
        <v>7000</v>
      </c>
      <c r="AG66" s="100">
        <v>2</v>
      </c>
      <c r="AH66" s="77">
        <f>AF66*AG66</f>
        <v>14000</v>
      </c>
      <c r="AI66" s="100"/>
      <c r="AJ66" s="67">
        <f>AH66+AI66</f>
        <v>14000</v>
      </c>
      <c r="AK66" s="77">
        <f t="shared" ref="AK66:AM67" si="14">E66+V66+AG66</f>
        <v>6</v>
      </c>
      <c r="AL66" s="77">
        <f t="shared" si="14"/>
        <v>42000</v>
      </c>
      <c r="AM66" s="77">
        <f t="shared" si="14"/>
        <v>0</v>
      </c>
      <c r="AN66" s="92">
        <f>AL66+AM66</f>
        <v>42000</v>
      </c>
      <c r="AO66" s="129" t="s">
        <v>166</v>
      </c>
      <c r="AP66" s="47"/>
      <c r="AQ66" s="4">
        <f>1200*6*7</f>
        <v>50400</v>
      </c>
      <c r="AR66" s="49"/>
      <c r="AS66" s="49">
        <v>3600</v>
      </c>
      <c r="AT66" s="49"/>
      <c r="AU66" s="49">
        <v>3600</v>
      </c>
      <c r="AV66" s="71">
        <f>AR66+AS66+AT66+AU66</f>
        <v>7200</v>
      </c>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row>
    <row r="67" spans="1:90" ht="42.75" customHeight="1" x14ac:dyDescent="0.25">
      <c r="A67" s="124" t="s">
        <v>167</v>
      </c>
      <c r="B67" s="130" t="s">
        <v>168</v>
      </c>
      <c r="C67" s="91" t="s">
        <v>70</v>
      </c>
      <c r="D67" s="125">
        <v>87400</v>
      </c>
      <c r="E67" s="125">
        <v>2</v>
      </c>
      <c r="F67" s="56">
        <f>D67*E67</f>
        <v>174800</v>
      </c>
      <c r="G67" s="125"/>
      <c r="H67" s="56">
        <f>F67+G67</f>
        <v>174800</v>
      </c>
      <c r="I67" s="56">
        <v>437</v>
      </c>
      <c r="J67" s="56">
        <f>2*200</f>
        <v>400</v>
      </c>
      <c r="K67" s="56">
        <f>I67*J67</f>
        <v>174800</v>
      </c>
      <c r="L67" s="56"/>
      <c r="M67" s="57">
        <f>K67+L67</f>
        <v>174800</v>
      </c>
      <c r="N67" s="67"/>
      <c r="O67" s="56">
        <v>0</v>
      </c>
      <c r="P67" s="56"/>
      <c r="Q67" s="56">
        <f>M67/2</f>
        <v>87400</v>
      </c>
      <c r="R67" s="56">
        <f>M67/2</f>
        <v>87400</v>
      </c>
      <c r="S67" s="58">
        <f>O67+P67+Q67+R67</f>
        <v>174800</v>
      </c>
      <c r="T67" s="67"/>
      <c r="U67" s="125">
        <v>87400</v>
      </c>
      <c r="V67" s="125">
        <v>2</v>
      </c>
      <c r="W67" s="64">
        <f>U67*V67</f>
        <v>174800</v>
      </c>
      <c r="X67" s="125"/>
      <c r="Y67" s="56">
        <f>W67+X67</f>
        <v>174800</v>
      </c>
      <c r="Z67" s="67"/>
      <c r="AA67" s="67">
        <v>87400</v>
      </c>
      <c r="AB67" s="67">
        <v>2</v>
      </c>
      <c r="AC67" s="56">
        <f>AA67*AB67</f>
        <v>174800</v>
      </c>
      <c r="AD67" s="56"/>
      <c r="AE67" s="56">
        <f>AC67+AD67</f>
        <v>174800</v>
      </c>
      <c r="AF67" s="125">
        <v>87400</v>
      </c>
      <c r="AG67" s="125">
        <v>2</v>
      </c>
      <c r="AH67" s="64">
        <f>AF67*AG67</f>
        <v>174800</v>
      </c>
      <c r="AI67" s="125"/>
      <c r="AJ67" s="56">
        <f>AH67+AI67</f>
        <v>174800</v>
      </c>
      <c r="AK67" s="64">
        <f t="shared" si="14"/>
        <v>6</v>
      </c>
      <c r="AL67" s="64">
        <f t="shared" si="14"/>
        <v>524400</v>
      </c>
      <c r="AM67" s="64">
        <f t="shared" si="14"/>
        <v>0</v>
      </c>
      <c r="AN67" s="57">
        <f>AL67+AM67</f>
        <v>524400</v>
      </c>
      <c r="AO67" s="126"/>
      <c r="AP67" s="47" t="s">
        <v>169</v>
      </c>
      <c r="AQ67" s="4">
        <v>174800</v>
      </c>
      <c r="AR67" s="49"/>
      <c r="AS67" s="49">
        <v>87400</v>
      </c>
      <c r="AT67" s="49"/>
      <c r="AU67" s="49">
        <v>87400</v>
      </c>
      <c r="AV67" s="71">
        <f>AR67+AS67+AT67+AU67</f>
        <v>174800</v>
      </c>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row>
    <row r="68" spans="1:90" ht="15.75" x14ac:dyDescent="0.25">
      <c r="A68" s="94"/>
      <c r="B68" s="95" t="s">
        <v>170</v>
      </c>
      <c r="C68" s="96"/>
      <c r="D68" s="97">
        <f>SUM(D66:D67)</f>
        <v>94400</v>
      </c>
      <c r="E68" s="98">
        <v>2</v>
      </c>
      <c r="F68" s="97">
        <f>SUM(F66:F67)</f>
        <v>188800</v>
      </c>
      <c r="G68" s="97">
        <f>SUM(G66:G67)</f>
        <v>0</v>
      </c>
      <c r="H68" s="97">
        <f>SUM(H66:H67)</f>
        <v>188800</v>
      </c>
      <c r="I68" s="97"/>
      <c r="J68" s="97"/>
      <c r="K68" s="97">
        <f>SUM(K66:K67)</f>
        <v>182000</v>
      </c>
      <c r="L68" s="97">
        <f>SUM(L66:L67)</f>
        <v>0</v>
      </c>
      <c r="M68" s="97">
        <f>SUM(M66:M67)</f>
        <v>182000</v>
      </c>
      <c r="N68" s="100"/>
      <c r="O68" s="97">
        <f>SUM(O66:O67)</f>
        <v>0</v>
      </c>
      <c r="P68" s="97">
        <f>SUM(P66:P67)</f>
        <v>2400</v>
      </c>
      <c r="Q68" s="97">
        <f>SUM(Q66:Q67)</f>
        <v>89800</v>
      </c>
      <c r="R68" s="97">
        <f>SUM(R66:R67)</f>
        <v>89800</v>
      </c>
      <c r="S68" s="58">
        <f>O68+P68+Q68+R68</f>
        <v>182000</v>
      </c>
      <c r="T68" s="100"/>
      <c r="U68" s="97">
        <f>SUM(U66:U67)</f>
        <v>94400</v>
      </c>
      <c r="V68" s="98">
        <v>2</v>
      </c>
      <c r="W68" s="97">
        <f>SUM(W66:W67)</f>
        <v>188800</v>
      </c>
      <c r="X68" s="97">
        <f>SUM(X66:X67)</f>
        <v>0</v>
      </c>
      <c r="Y68" s="97">
        <f>SUM(Y66:Y67)</f>
        <v>188800</v>
      </c>
      <c r="Z68" s="100"/>
      <c r="AA68" s="75"/>
      <c r="AB68" s="78">
        <v>2</v>
      </c>
      <c r="AC68" s="75">
        <f>SUM(AC66:AC67)</f>
        <v>182000</v>
      </c>
      <c r="AD68" s="75">
        <f>SUM(AD66:AD67)</f>
        <v>0</v>
      </c>
      <c r="AE68" s="75">
        <f>SUM(AE66:AE67)</f>
        <v>182000</v>
      </c>
      <c r="AF68" s="97">
        <f>SUM(AF66:AF67)</f>
        <v>94400</v>
      </c>
      <c r="AG68" s="98">
        <v>2</v>
      </c>
      <c r="AH68" s="97">
        <f>SUM(AH66:AH67)</f>
        <v>188800</v>
      </c>
      <c r="AI68" s="97">
        <f>SUM(AI66:AI67)</f>
        <v>0</v>
      </c>
      <c r="AJ68" s="97">
        <f>SUM(AJ66:AJ67)</f>
        <v>188800</v>
      </c>
      <c r="AK68" s="78">
        <f>AG68+V68+E68</f>
        <v>6</v>
      </c>
      <c r="AL68" s="97">
        <f>SUM(AL66:AL67)</f>
        <v>566400</v>
      </c>
      <c r="AM68" s="97">
        <f>SUM(AM66:AM67)</f>
        <v>0</v>
      </c>
      <c r="AN68" s="97">
        <f>SUM(AN66:AN67)</f>
        <v>566400</v>
      </c>
      <c r="AO68" s="101">
        <f>SUM(AO66:AO67)</f>
        <v>0</v>
      </c>
      <c r="AP68" s="49"/>
      <c r="AQ68" s="79"/>
      <c r="AR68" s="75">
        <f>SUM(AR66:AR67)</f>
        <v>0</v>
      </c>
      <c r="AS68" s="75">
        <f>SUM(AS66:AS67)</f>
        <v>91000</v>
      </c>
      <c r="AT68" s="75">
        <f>SUM(AT66:AT67)</f>
        <v>0</v>
      </c>
      <c r="AU68" s="75">
        <f>SUM(AU66:AU67)</f>
        <v>91000</v>
      </c>
      <c r="AV68" s="71">
        <f>AR68+AS68+AT68+AU68</f>
        <v>182000</v>
      </c>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row>
    <row r="69" spans="1:90" ht="15.75" x14ac:dyDescent="0.25">
      <c r="A69" s="80">
        <v>2.7</v>
      </c>
      <c r="B69" s="81" t="s">
        <v>171</v>
      </c>
      <c r="C69" s="121"/>
      <c r="D69" s="131"/>
      <c r="E69" s="131"/>
      <c r="F69" s="131"/>
      <c r="G69" s="131"/>
      <c r="H69" s="131"/>
      <c r="I69" s="131"/>
      <c r="J69" s="131"/>
      <c r="K69" s="131"/>
      <c r="L69" s="131"/>
      <c r="M69" s="131"/>
      <c r="N69" s="132"/>
      <c r="O69" s="131"/>
      <c r="P69" s="131"/>
      <c r="Q69" s="131"/>
      <c r="R69" s="131"/>
      <c r="S69" s="131"/>
      <c r="T69" s="132"/>
      <c r="U69" s="131"/>
      <c r="V69" s="131"/>
      <c r="W69" s="131"/>
      <c r="X69" s="131"/>
      <c r="Y69" s="131"/>
      <c r="Z69" s="132"/>
      <c r="AA69" s="131"/>
      <c r="AB69" s="131"/>
      <c r="AC69" s="131"/>
      <c r="AD69" s="131"/>
      <c r="AE69" s="131"/>
      <c r="AF69" s="131"/>
      <c r="AG69" s="131"/>
      <c r="AH69" s="131"/>
      <c r="AI69" s="131"/>
      <c r="AJ69" s="131"/>
      <c r="AK69" s="131"/>
      <c r="AL69" s="131"/>
      <c r="AM69" s="131"/>
      <c r="AN69" s="131"/>
      <c r="AO69" s="133"/>
      <c r="AP69" s="49"/>
      <c r="AQ69" s="4"/>
      <c r="AR69" s="65"/>
      <c r="AS69" s="65"/>
      <c r="AT69" s="65"/>
      <c r="AU69" s="65"/>
      <c r="AV69" s="65"/>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row>
    <row r="70" spans="1:90" ht="51" hidden="1" x14ac:dyDescent="0.25">
      <c r="A70" s="124" t="s">
        <v>172</v>
      </c>
      <c r="B70" s="51" t="s">
        <v>173</v>
      </c>
      <c r="C70" s="91" t="s">
        <v>62</v>
      </c>
      <c r="D70" s="125">
        <v>360000</v>
      </c>
      <c r="E70" s="125">
        <v>1</v>
      </c>
      <c r="F70" s="56">
        <f>D70*E70</f>
        <v>360000</v>
      </c>
      <c r="G70" s="125">
        <v>160000</v>
      </c>
      <c r="H70" s="56">
        <f>F70+G70</f>
        <v>520000</v>
      </c>
      <c r="I70" s="56">
        <v>62</v>
      </c>
      <c r="J70" s="56">
        <v>4500</v>
      </c>
      <c r="K70" s="56">
        <f>I70*J70</f>
        <v>279000</v>
      </c>
      <c r="L70" s="56">
        <f>2000*80</f>
        <v>160000</v>
      </c>
      <c r="M70" s="57">
        <f>K70+L70</f>
        <v>439000</v>
      </c>
      <c r="N70" s="67"/>
      <c r="O70" s="56"/>
      <c r="P70" s="56"/>
      <c r="Q70" s="56">
        <f>K70</f>
        <v>279000</v>
      </c>
      <c r="R70" s="56"/>
      <c r="S70" s="58">
        <f>O70+P70+Q70+R70</f>
        <v>279000</v>
      </c>
      <c r="T70" s="67"/>
      <c r="U70" s="56">
        <v>360000</v>
      </c>
      <c r="V70" s="125">
        <v>0</v>
      </c>
      <c r="W70" s="64">
        <f>U70*V70</f>
        <v>0</v>
      </c>
      <c r="X70" s="125"/>
      <c r="Y70" s="56">
        <f>W70+X70</f>
        <v>0</v>
      </c>
      <c r="Z70" s="67"/>
      <c r="AA70" s="56"/>
      <c r="AB70" s="56"/>
      <c r="AC70" s="56"/>
      <c r="AD70" s="56"/>
      <c r="AE70" s="56"/>
      <c r="AF70" s="56">
        <v>360000</v>
      </c>
      <c r="AG70" s="125">
        <v>0</v>
      </c>
      <c r="AH70" s="64">
        <f>AF70*AG70</f>
        <v>0</v>
      </c>
      <c r="AI70" s="125"/>
      <c r="AJ70" s="56">
        <f>AH70+AI70</f>
        <v>0</v>
      </c>
      <c r="AK70" s="64">
        <f t="shared" ref="AK70:AM71" si="15">E70+V70+AG70</f>
        <v>1</v>
      </c>
      <c r="AL70" s="64">
        <f t="shared" si="15"/>
        <v>360000</v>
      </c>
      <c r="AM70" s="64">
        <f t="shared" si="15"/>
        <v>160000</v>
      </c>
      <c r="AN70" s="57">
        <f>AL70+AM70</f>
        <v>520000</v>
      </c>
      <c r="AO70" s="126"/>
      <c r="AP70" s="49"/>
      <c r="AQ70" s="4"/>
      <c r="AR70" s="49"/>
      <c r="AS70" s="49"/>
      <c r="AT70" s="49"/>
      <c r="AU70" s="49"/>
      <c r="AV70" s="71">
        <f>AR70+AS70+AT70+AU70</f>
        <v>0</v>
      </c>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row>
    <row r="71" spans="1:90" hidden="1" x14ac:dyDescent="0.25">
      <c r="A71" s="124" t="s">
        <v>174</v>
      </c>
      <c r="B71" s="51" t="s">
        <v>175</v>
      </c>
      <c r="C71" s="91" t="s">
        <v>78</v>
      </c>
      <c r="D71" s="125">
        <v>5250</v>
      </c>
      <c r="E71" s="125">
        <v>1</v>
      </c>
      <c r="F71" s="56">
        <f>D71*E71</f>
        <v>5250</v>
      </c>
      <c r="G71" s="125"/>
      <c r="H71" s="56">
        <f>F71+G71</f>
        <v>5250</v>
      </c>
      <c r="I71" s="56">
        <v>1</v>
      </c>
      <c r="J71" s="56">
        <v>5250</v>
      </c>
      <c r="K71" s="56">
        <f>I71*J71</f>
        <v>5250</v>
      </c>
      <c r="L71" s="56"/>
      <c r="M71" s="57">
        <f>K71+L71</f>
        <v>5250</v>
      </c>
      <c r="N71" s="67"/>
      <c r="O71" s="56"/>
      <c r="P71" s="56"/>
      <c r="Q71" s="56">
        <f>M71</f>
        <v>5250</v>
      </c>
      <c r="R71" s="56"/>
      <c r="S71" s="58">
        <f>O71+P71+Q71+R71</f>
        <v>5250</v>
      </c>
      <c r="T71" s="67"/>
      <c r="U71" s="100">
        <v>5000</v>
      </c>
      <c r="V71" s="125">
        <v>0</v>
      </c>
      <c r="W71" s="64">
        <f>U71*V71</f>
        <v>0</v>
      </c>
      <c r="X71" s="125"/>
      <c r="Y71" s="56">
        <f>W71+X71</f>
        <v>0</v>
      </c>
      <c r="Z71" s="67"/>
      <c r="AA71" s="56"/>
      <c r="AB71" s="56"/>
      <c r="AC71" s="56"/>
      <c r="AD71" s="56"/>
      <c r="AE71" s="56"/>
      <c r="AF71" s="100">
        <v>5000</v>
      </c>
      <c r="AG71" s="125">
        <v>0</v>
      </c>
      <c r="AH71" s="64">
        <f>AF71*AG71</f>
        <v>0</v>
      </c>
      <c r="AI71" s="125"/>
      <c r="AJ71" s="56">
        <f>AH71+AI71</f>
        <v>0</v>
      </c>
      <c r="AK71" s="64">
        <f t="shared" si="15"/>
        <v>1</v>
      </c>
      <c r="AL71" s="64">
        <f t="shared" si="15"/>
        <v>5250</v>
      </c>
      <c r="AM71" s="64">
        <f t="shared" si="15"/>
        <v>0</v>
      </c>
      <c r="AN71" s="57">
        <f>AL71+AM71</f>
        <v>5250</v>
      </c>
      <c r="AO71" s="126"/>
      <c r="AP71" s="49"/>
      <c r="AQ71" s="4"/>
      <c r="AR71" s="49"/>
      <c r="AS71" s="49"/>
      <c r="AT71" s="49"/>
      <c r="AU71" s="49"/>
      <c r="AV71" s="71">
        <f>AR71+AS71+AT71+AU71</f>
        <v>0</v>
      </c>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row>
    <row r="72" spans="1:90" ht="15.75" x14ac:dyDescent="0.25">
      <c r="A72" s="94"/>
      <c r="B72" s="95" t="s">
        <v>176</v>
      </c>
      <c r="C72" s="96"/>
      <c r="D72" s="97">
        <f>SUM(D70:D71)</f>
        <v>365250</v>
      </c>
      <c r="E72" s="98">
        <v>1</v>
      </c>
      <c r="F72" s="97">
        <f>SUM(F70:F71)</f>
        <v>365250</v>
      </c>
      <c r="G72" s="97">
        <f>SUM(G70:G71)</f>
        <v>160000</v>
      </c>
      <c r="H72" s="97">
        <f>SUM(H70:H71)</f>
        <v>525250</v>
      </c>
      <c r="I72" s="97"/>
      <c r="J72" s="97"/>
      <c r="K72" s="97">
        <f>SUM(K70:K71)</f>
        <v>284250</v>
      </c>
      <c r="L72" s="97">
        <f>SUM(L70:L71)</f>
        <v>160000</v>
      </c>
      <c r="M72" s="97">
        <f>SUM(M70:M71)</f>
        <v>444250</v>
      </c>
      <c r="N72" s="100"/>
      <c r="O72" s="97">
        <f>SUM(O70:O71)</f>
        <v>0</v>
      </c>
      <c r="P72" s="97">
        <f>SUM(P70:P71)</f>
        <v>0</v>
      </c>
      <c r="Q72" s="97">
        <f>SUM(Q70:Q71)</f>
        <v>284250</v>
      </c>
      <c r="R72" s="97">
        <f>SUM(R70:R71)</f>
        <v>0</v>
      </c>
      <c r="S72" s="58">
        <f>O72+P72+Q72+R72</f>
        <v>284250</v>
      </c>
      <c r="T72" s="100"/>
      <c r="U72" s="97">
        <f>SUM(U70:U71)</f>
        <v>365000</v>
      </c>
      <c r="V72" s="98">
        <f>SUM(V70:V71)</f>
        <v>0</v>
      </c>
      <c r="W72" s="97">
        <f>SUM(W70:W71)</f>
        <v>0</v>
      </c>
      <c r="X72" s="97">
        <f>SUM(X70:X71)</f>
        <v>0</v>
      </c>
      <c r="Y72" s="97">
        <f>SUM(Y70:Y71)</f>
        <v>0</v>
      </c>
      <c r="Z72" s="100"/>
      <c r="AA72" s="97"/>
      <c r="AB72" s="97"/>
      <c r="AC72" s="97"/>
      <c r="AD72" s="97"/>
      <c r="AE72" s="97"/>
      <c r="AF72" s="97">
        <f>SUM(AF70:AF71)</f>
        <v>365000</v>
      </c>
      <c r="AG72" s="98">
        <f>SUM(AG70:AG71)</f>
        <v>0</v>
      </c>
      <c r="AH72" s="97">
        <f>SUM(AH70:AH71)</f>
        <v>0</v>
      </c>
      <c r="AI72" s="97">
        <f>SUM(AI70:AI71)</f>
        <v>0</v>
      </c>
      <c r="AJ72" s="97">
        <f>SUM(AJ70:AJ71)</f>
        <v>0</v>
      </c>
      <c r="AK72" s="78">
        <f>AG72+V72+E72</f>
        <v>1</v>
      </c>
      <c r="AL72" s="97">
        <f>SUM(AL70:AL71)</f>
        <v>365250</v>
      </c>
      <c r="AM72" s="97">
        <f>SUM(AM70:AM71)</f>
        <v>160000</v>
      </c>
      <c r="AN72" s="97">
        <f>SUM(AN70:AN71)</f>
        <v>525250</v>
      </c>
      <c r="AO72" s="101">
        <f>SUM(AO70:AO71)</f>
        <v>0</v>
      </c>
      <c r="AP72" s="49"/>
      <c r="AQ72" s="4"/>
      <c r="AR72" s="49"/>
      <c r="AS72" s="49"/>
      <c r="AT72" s="49"/>
      <c r="AU72" s="49"/>
      <c r="AV72" s="71">
        <f>AR72+AS72+AT72+AU72</f>
        <v>0</v>
      </c>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row>
    <row r="73" spans="1:90" ht="31.5" x14ac:dyDescent="0.25">
      <c r="A73" s="134"/>
      <c r="B73" s="135" t="s">
        <v>177</v>
      </c>
      <c r="C73" s="121"/>
      <c r="D73" s="122"/>
      <c r="E73" s="122"/>
      <c r="F73" s="122"/>
      <c r="G73" s="122"/>
      <c r="H73" s="122"/>
      <c r="I73" s="122"/>
      <c r="J73" s="122"/>
      <c r="K73" s="122"/>
      <c r="L73" s="122"/>
      <c r="M73" s="122"/>
      <c r="N73" s="100"/>
      <c r="O73" s="122"/>
      <c r="P73" s="122"/>
      <c r="Q73" s="122"/>
      <c r="R73" s="122"/>
      <c r="S73" s="122"/>
      <c r="T73" s="100"/>
      <c r="U73" s="122"/>
      <c r="V73" s="122"/>
      <c r="W73" s="122"/>
      <c r="X73" s="122"/>
      <c r="Y73" s="122"/>
      <c r="Z73" s="100"/>
      <c r="AA73" s="122"/>
      <c r="AB73" s="122"/>
      <c r="AC73" s="122"/>
      <c r="AD73" s="122"/>
      <c r="AE73" s="122"/>
      <c r="AF73" s="122"/>
      <c r="AG73" s="122"/>
      <c r="AH73" s="122"/>
      <c r="AI73" s="122"/>
      <c r="AJ73" s="122"/>
      <c r="AK73" s="122"/>
      <c r="AL73" s="122"/>
      <c r="AM73" s="122"/>
      <c r="AN73" s="122"/>
      <c r="AO73" s="123"/>
      <c r="AP73" s="49"/>
      <c r="AQ73" s="4"/>
      <c r="AR73" s="65"/>
      <c r="AS73" s="65"/>
      <c r="AT73" s="65"/>
      <c r="AU73" s="65"/>
      <c r="AV73" s="65"/>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row>
    <row r="74" spans="1:90" ht="63.75" hidden="1" customHeight="1" x14ac:dyDescent="0.25">
      <c r="A74" s="124"/>
      <c r="B74" s="136" t="s">
        <v>178</v>
      </c>
      <c r="C74" s="91" t="s">
        <v>62</v>
      </c>
      <c r="D74" s="100">
        <v>42000</v>
      </c>
      <c r="E74" s="125">
        <v>1</v>
      </c>
      <c r="F74" s="56">
        <f>D74*E74</f>
        <v>42000</v>
      </c>
      <c r="G74" s="56">
        <v>21000</v>
      </c>
      <c r="H74" s="56">
        <f>F74+G74</f>
        <v>63000</v>
      </c>
      <c r="I74" s="56"/>
      <c r="J74" s="56"/>
      <c r="K74" s="56">
        <f>I74*J74</f>
        <v>0</v>
      </c>
      <c r="L74" s="56"/>
      <c r="M74" s="57">
        <f>K74+L74</f>
        <v>0</v>
      </c>
      <c r="N74" s="67"/>
      <c r="O74" s="56"/>
      <c r="P74" s="56"/>
      <c r="Q74" s="56"/>
      <c r="R74" s="56"/>
      <c r="S74" s="58">
        <f>O74+P74+Q74+R74</f>
        <v>0</v>
      </c>
      <c r="T74" s="67"/>
      <c r="U74" s="67">
        <v>108000</v>
      </c>
      <c r="V74" s="56">
        <v>1</v>
      </c>
      <c r="W74" s="109">
        <f>U74*V74</f>
        <v>108000</v>
      </c>
      <c r="X74" s="56">
        <v>21000</v>
      </c>
      <c r="Y74" s="56">
        <f>W74+X74</f>
        <v>129000</v>
      </c>
      <c r="Z74" s="67"/>
      <c r="AA74" s="56"/>
      <c r="AB74" s="56"/>
      <c r="AC74" s="56"/>
      <c r="AD74" s="56"/>
      <c r="AE74" s="56"/>
      <c r="AF74" s="67">
        <v>42000</v>
      </c>
      <c r="AG74" s="56">
        <v>0</v>
      </c>
      <c r="AH74" s="64">
        <f>AF74*AG74</f>
        <v>0</v>
      </c>
      <c r="AI74" s="56">
        <v>21000</v>
      </c>
      <c r="AJ74" s="56">
        <f>AH74+AI74</f>
        <v>21000</v>
      </c>
      <c r="AK74" s="64">
        <f t="shared" ref="AK74:AM75" si="16">E74+V74+AG74</f>
        <v>2</v>
      </c>
      <c r="AL74" s="64">
        <f t="shared" si="16"/>
        <v>150000</v>
      </c>
      <c r="AM74" s="64">
        <f t="shared" si="16"/>
        <v>63000</v>
      </c>
      <c r="AN74" s="57">
        <f>AL74+AM74</f>
        <v>213000</v>
      </c>
      <c r="AO74" s="126"/>
      <c r="AP74" s="596" t="s">
        <v>179</v>
      </c>
      <c r="AQ74" s="4"/>
      <c r="AR74" s="49"/>
      <c r="AS74" s="49"/>
      <c r="AT74" s="49"/>
      <c r="AU74" s="49"/>
      <c r="AV74" s="71">
        <f>AR74+AS74+AT74+AU74</f>
        <v>0</v>
      </c>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row>
    <row r="75" spans="1:90" ht="25.5" hidden="1" x14ac:dyDescent="0.25">
      <c r="A75" s="124"/>
      <c r="B75" s="136" t="s">
        <v>180</v>
      </c>
      <c r="C75" s="91" t="s">
        <v>70</v>
      </c>
      <c r="D75" s="125">
        <v>1000</v>
      </c>
      <c r="E75" s="125">
        <v>1</v>
      </c>
      <c r="F75" s="56">
        <f>D75*E75</f>
        <v>1000</v>
      </c>
      <c r="G75" s="56"/>
      <c r="H75" s="56">
        <f>F75+G75</f>
        <v>1000</v>
      </c>
      <c r="I75" s="56"/>
      <c r="J75" s="56"/>
      <c r="K75" s="56">
        <f>I75*J75</f>
        <v>0</v>
      </c>
      <c r="L75" s="56"/>
      <c r="M75" s="57">
        <f>K75+L75</f>
        <v>0</v>
      </c>
      <c r="N75" s="67"/>
      <c r="O75" s="56"/>
      <c r="P75" s="56"/>
      <c r="Q75" s="56"/>
      <c r="R75" s="56"/>
      <c r="S75" s="58">
        <f>O75+P75+Q75+R75</f>
        <v>0</v>
      </c>
      <c r="T75" s="67"/>
      <c r="U75" s="137">
        <v>3400</v>
      </c>
      <c r="V75" s="56">
        <v>1</v>
      </c>
      <c r="W75" s="109">
        <f>U75*V75</f>
        <v>3400</v>
      </c>
      <c r="X75" s="56"/>
      <c r="Y75" s="56">
        <f>W75+X75</f>
        <v>3400</v>
      </c>
      <c r="Z75" s="67"/>
      <c r="AA75" s="56"/>
      <c r="AB75" s="56"/>
      <c r="AC75" s="56"/>
      <c r="AD75" s="56"/>
      <c r="AE75" s="56"/>
      <c r="AF75" s="56">
        <v>1000</v>
      </c>
      <c r="AG75" s="56">
        <v>0</v>
      </c>
      <c r="AH75" s="64">
        <f>AF75*AG75</f>
        <v>0</v>
      </c>
      <c r="AI75" s="56"/>
      <c r="AJ75" s="56">
        <f>AH75+AI75</f>
        <v>0</v>
      </c>
      <c r="AK75" s="64">
        <f t="shared" si="16"/>
        <v>2</v>
      </c>
      <c r="AL75" s="64">
        <f t="shared" si="16"/>
        <v>4400</v>
      </c>
      <c r="AM75" s="64">
        <f t="shared" si="16"/>
        <v>0</v>
      </c>
      <c r="AN75" s="57">
        <f>AL75+AM75</f>
        <v>4400</v>
      </c>
      <c r="AO75" s="126"/>
      <c r="AP75" s="596"/>
      <c r="AQ75" s="4"/>
      <c r="AR75" s="49"/>
      <c r="AS75" s="49"/>
      <c r="AT75" s="49"/>
      <c r="AU75" s="49"/>
      <c r="AV75" s="71">
        <f>AR75+AS75+AT75+AU75</f>
        <v>0</v>
      </c>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row>
    <row r="76" spans="1:90" ht="15.75" x14ac:dyDescent="0.25">
      <c r="A76" s="94"/>
      <c r="B76" s="95" t="s">
        <v>181</v>
      </c>
      <c r="C76" s="96"/>
      <c r="D76" s="97">
        <f>SUM(D74:D75)</f>
        <v>43000</v>
      </c>
      <c r="E76" s="98">
        <v>1</v>
      </c>
      <c r="F76" s="97">
        <f>SUM(F74:F75)</f>
        <v>43000</v>
      </c>
      <c r="G76" s="97">
        <f>SUM(G74:G75)</f>
        <v>21000</v>
      </c>
      <c r="H76" s="97">
        <f>SUM(H74:H75)</f>
        <v>64000</v>
      </c>
      <c r="I76" s="97"/>
      <c r="J76" s="97"/>
      <c r="K76" s="97">
        <f>SUM(K74:K75)</f>
        <v>0</v>
      </c>
      <c r="L76" s="97">
        <f>SUM(L74:L75)</f>
        <v>0</v>
      </c>
      <c r="M76" s="97">
        <f>SUM(M74:M75)</f>
        <v>0</v>
      </c>
      <c r="N76" s="100"/>
      <c r="O76" s="97">
        <f>SUM(O74:O75)</f>
        <v>0</v>
      </c>
      <c r="P76" s="97">
        <f>SUM(P74:P75)</f>
        <v>0</v>
      </c>
      <c r="Q76" s="97">
        <f>SUM(Q74:Q75)</f>
        <v>0</v>
      </c>
      <c r="R76" s="97">
        <f>SUM(R74:R75)</f>
        <v>0</v>
      </c>
      <c r="S76" s="58">
        <f>O76+P76+Q76+R76</f>
        <v>0</v>
      </c>
      <c r="T76" s="100"/>
      <c r="U76" s="97">
        <f>SUM(U74:U75)</f>
        <v>111400</v>
      </c>
      <c r="V76" s="98">
        <v>1</v>
      </c>
      <c r="W76" s="97">
        <f>SUM(W74:W75)</f>
        <v>111400</v>
      </c>
      <c r="X76" s="97">
        <f>SUM(X74:X75)</f>
        <v>21000</v>
      </c>
      <c r="Y76" s="97">
        <f>SUM(Y74:Y75)</f>
        <v>132400</v>
      </c>
      <c r="Z76" s="100"/>
      <c r="AA76" s="97"/>
      <c r="AB76" s="97"/>
      <c r="AC76" s="97"/>
      <c r="AD76" s="97"/>
      <c r="AE76" s="97"/>
      <c r="AF76" s="97">
        <f>SUM(AF74:AF75)</f>
        <v>43000</v>
      </c>
      <c r="AG76" s="98">
        <f>SUM(AG74:AG75)</f>
        <v>0</v>
      </c>
      <c r="AH76" s="97">
        <f>SUM(AH74:AH75)</f>
        <v>0</v>
      </c>
      <c r="AI76" s="97">
        <f>SUM(AI74:AI75)</f>
        <v>21000</v>
      </c>
      <c r="AJ76" s="97">
        <f>SUM(AJ74:AJ75)</f>
        <v>21000</v>
      </c>
      <c r="AK76" s="78">
        <f>AG76+V76+E76</f>
        <v>2</v>
      </c>
      <c r="AL76" s="97">
        <f>SUM(AL74:AL75)</f>
        <v>154400</v>
      </c>
      <c r="AM76" s="97">
        <f>SUM(AM74:AM75)</f>
        <v>63000</v>
      </c>
      <c r="AN76" s="97">
        <f>SUM(AN74:AN75)</f>
        <v>217400</v>
      </c>
      <c r="AO76" s="101">
        <f>SUM(AO74:AO75)</f>
        <v>0</v>
      </c>
      <c r="AP76" s="49"/>
      <c r="AQ76" s="4"/>
      <c r="AR76" s="97"/>
      <c r="AS76" s="97"/>
      <c r="AT76" s="97"/>
      <c r="AU76" s="97"/>
      <c r="AV76" s="71">
        <f>AR76+AS76+AT76+AU76</f>
        <v>0</v>
      </c>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row>
    <row r="77" spans="1:90" ht="15.75" x14ac:dyDescent="0.25">
      <c r="A77" s="80">
        <v>2.8</v>
      </c>
      <c r="B77" s="81" t="s">
        <v>182</v>
      </c>
      <c r="C77" s="121"/>
      <c r="D77" s="122"/>
      <c r="E77" s="122"/>
      <c r="F77" s="122"/>
      <c r="G77" s="122"/>
      <c r="H77" s="122"/>
      <c r="I77" s="122"/>
      <c r="J77" s="122"/>
      <c r="K77" s="122"/>
      <c r="L77" s="122"/>
      <c r="M77" s="122"/>
      <c r="N77" s="100"/>
      <c r="O77" s="122"/>
      <c r="P77" s="122"/>
      <c r="Q77" s="122"/>
      <c r="R77" s="122"/>
      <c r="S77" s="122"/>
      <c r="T77" s="100"/>
      <c r="U77" s="122"/>
      <c r="V77" s="122"/>
      <c r="W77" s="122"/>
      <c r="X77" s="122"/>
      <c r="Y77" s="122"/>
      <c r="Z77" s="100"/>
      <c r="AA77" s="122"/>
      <c r="AB77" s="122"/>
      <c r="AC77" s="122"/>
      <c r="AD77" s="122"/>
      <c r="AE77" s="122"/>
      <c r="AF77" s="122"/>
      <c r="AG77" s="122"/>
      <c r="AH77" s="122"/>
      <c r="AI77" s="122"/>
      <c r="AJ77" s="122"/>
      <c r="AK77" s="122"/>
      <c r="AL77" s="122"/>
      <c r="AM77" s="122"/>
      <c r="AN77" s="122"/>
      <c r="AO77" s="123"/>
      <c r="AP77" s="49"/>
      <c r="AQ77" s="4"/>
      <c r="AR77" s="65"/>
      <c r="AS77" s="65"/>
      <c r="AT77" s="65"/>
      <c r="AU77" s="65"/>
      <c r="AV77" s="65"/>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row>
    <row r="78" spans="1:90" s="3" customFormat="1" ht="38.25" hidden="1" x14ac:dyDescent="0.25">
      <c r="A78" s="138" t="s">
        <v>183</v>
      </c>
      <c r="B78" s="139" t="s">
        <v>152</v>
      </c>
      <c r="C78" s="140"/>
      <c r="D78" s="100"/>
      <c r="E78" s="100"/>
      <c r="F78" s="100"/>
      <c r="G78" s="100"/>
      <c r="H78" s="100"/>
      <c r="I78" s="100">
        <v>1</v>
      </c>
      <c r="J78" s="100">
        <v>2500</v>
      </c>
      <c r="K78" s="56">
        <f>I78*J78</f>
        <v>2500</v>
      </c>
      <c r="L78" s="100"/>
      <c r="M78" s="57">
        <f t="shared" ref="M78:M83" si="17">K78+L78</f>
        <v>2500</v>
      </c>
      <c r="N78" s="100"/>
      <c r="O78" s="100">
        <f>M78</f>
        <v>2500</v>
      </c>
      <c r="P78" s="100"/>
      <c r="Q78" s="100"/>
      <c r="R78" s="100"/>
      <c r="S78" s="58">
        <f>O78+P78+Q78+R78</f>
        <v>2500</v>
      </c>
      <c r="T78" s="100"/>
      <c r="U78" s="100"/>
      <c r="V78" s="100"/>
      <c r="W78" s="100"/>
      <c r="X78" s="100"/>
      <c r="Y78" s="100"/>
      <c r="Z78" s="100"/>
      <c r="AA78" s="100"/>
      <c r="AB78" s="100"/>
      <c r="AC78" s="100"/>
      <c r="AD78" s="100"/>
      <c r="AE78" s="100"/>
      <c r="AF78" s="100"/>
      <c r="AG78" s="100"/>
      <c r="AH78" s="100"/>
      <c r="AI78" s="100"/>
      <c r="AJ78" s="100"/>
      <c r="AK78" s="100"/>
      <c r="AL78" s="100"/>
      <c r="AM78" s="100"/>
      <c r="AN78" s="100"/>
      <c r="AO78" s="141"/>
      <c r="AP78" s="104"/>
      <c r="AQ78" s="105"/>
      <c r="AR78" s="104"/>
      <c r="AS78" s="104"/>
      <c r="AT78" s="104"/>
      <c r="AU78" s="104"/>
      <c r="AV78" s="71">
        <f t="shared" ref="AV78:AV84" si="18">AR78+AS78+AT78+AU78</f>
        <v>0</v>
      </c>
      <c r="AW78" s="105"/>
      <c r="AX78" s="105"/>
      <c r="AY78" s="105"/>
      <c r="AZ78" s="105"/>
      <c r="BA78" s="105"/>
      <c r="BB78" s="105"/>
      <c r="BC78" s="105"/>
      <c r="BD78" s="105"/>
      <c r="BE78" s="105"/>
      <c r="BF78" s="105"/>
      <c r="BG78" s="105"/>
      <c r="BH78" s="105"/>
      <c r="BI78" s="105"/>
      <c r="BJ78" s="105"/>
      <c r="BK78" s="105"/>
      <c r="BL78" s="105"/>
      <c r="BM78" s="105"/>
      <c r="BN78" s="105"/>
      <c r="BO78" s="105"/>
      <c r="BP78" s="105"/>
      <c r="BQ78" s="105"/>
      <c r="BR78" s="105"/>
      <c r="BS78" s="105"/>
      <c r="BT78" s="105"/>
      <c r="BU78" s="105"/>
      <c r="BV78" s="105"/>
      <c r="BW78" s="105"/>
      <c r="BX78" s="105"/>
      <c r="BY78" s="105"/>
      <c r="BZ78" s="105"/>
      <c r="CA78" s="105"/>
      <c r="CB78" s="105"/>
      <c r="CC78" s="105"/>
      <c r="CD78" s="105"/>
      <c r="CE78" s="105"/>
      <c r="CF78" s="105"/>
      <c r="CG78" s="105"/>
      <c r="CH78" s="105"/>
      <c r="CI78" s="105"/>
      <c r="CJ78" s="105"/>
      <c r="CK78" s="105"/>
      <c r="CL78" s="105"/>
    </row>
    <row r="79" spans="1:90" s="3" customFormat="1" ht="38.25" hidden="1" x14ac:dyDescent="0.25">
      <c r="A79" s="138" t="s">
        <v>184</v>
      </c>
      <c r="B79" s="139" t="s">
        <v>154</v>
      </c>
      <c r="C79" s="140"/>
      <c r="D79" s="100"/>
      <c r="E79" s="100"/>
      <c r="F79" s="100"/>
      <c r="G79" s="100"/>
      <c r="H79" s="100"/>
      <c r="I79" s="100">
        <v>41</v>
      </c>
      <c r="J79" s="100">
        <v>120</v>
      </c>
      <c r="K79" s="56">
        <f>I79*J79</f>
        <v>4920</v>
      </c>
      <c r="L79" s="100"/>
      <c r="M79" s="57">
        <f t="shared" si="17"/>
        <v>4920</v>
      </c>
      <c r="N79" s="100"/>
      <c r="O79" s="100">
        <f>M79</f>
        <v>4920</v>
      </c>
      <c r="P79" s="100"/>
      <c r="Q79" s="100"/>
      <c r="R79" s="100"/>
      <c r="S79" s="58">
        <f>O79+P79+Q79+R79</f>
        <v>4920</v>
      </c>
      <c r="T79" s="100"/>
      <c r="U79" s="100"/>
      <c r="V79" s="100"/>
      <c r="W79" s="100"/>
      <c r="X79" s="100"/>
      <c r="Y79" s="100"/>
      <c r="Z79" s="100"/>
      <c r="AA79" s="100"/>
      <c r="AB79" s="100"/>
      <c r="AC79" s="100"/>
      <c r="AD79" s="100"/>
      <c r="AE79" s="100"/>
      <c r="AF79" s="100"/>
      <c r="AG79" s="100"/>
      <c r="AH79" s="100"/>
      <c r="AI79" s="100"/>
      <c r="AJ79" s="100"/>
      <c r="AK79" s="100"/>
      <c r="AL79" s="100"/>
      <c r="AM79" s="100"/>
      <c r="AN79" s="100"/>
      <c r="AO79" s="141"/>
      <c r="AP79" s="104"/>
      <c r="AQ79" s="105"/>
      <c r="AR79" s="104"/>
      <c r="AS79" s="104"/>
      <c r="AT79" s="104"/>
      <c r="AU79" s="104"/>
      <c r="AV79" s="71">
        <f t="shared" si="18"/>
        <v>0</v>
      </c>
      <c r="AW79" s="105"/>
      <c r="AX79" s="105"/>
      <c r="AY79" s="105"/>
      <c r="AZ79" s="105"/>
      <c r="BA79" s="105"/>
      <c r="BB79" s="105"/>
      <c r="BC79" s="105"/>
      <c r="BD79" s="105"/>
      <c r="BE79" s="105"/>
      <c r="BF79" s="105"/>
      <c r="BG79" s="105"/>
      <c r="BH79" s="105"/>
      <c r="BI79" s="105"/>
      <c r="BJ79" s="105"/>
      <c r="BK79" s="105"/>
      <c r="BL79" s="105"/>
      <c r="BM79" s="105"/>
      <c r="BN79" s="105"/>
      <c r="BO79" s="105"/>
      <c r="BP79" s="105"/>
      <c r="BQ79" s="105"/>
      <c r="BR79" s="105"/>
      <c r="BS79" s="105"/>
      <c r="BT79" s="105"/>
      <c r="BU79" s="105"/>
      <c r="BV79" s="105"/>
      <c r="BW79" s="105"/>
      <c r="BX79" s="105"/>
      <c r="BY79" s="105"/>
      <c r="BZ79" s="105"/>
      <c r="CA79" s="105"/>
      <c r="CB79" s="105"/>
      <c r="CC79" s="105"/>
      <c r="CD79" s="105"/>
      <c r="CE79" s="105"/>
      <c r="CF79" s="105"/>
      <c r="CG79" s="105"/>
      <c r="CH79" s="105"/>
      <c r="CI79" s="105"/>
      <c r="CJ79" s="105"/>
      <c r="CK79" s="105"/>
      <c r="CL79" s="105"/>
    </row>
    <row r="80" spans="1:90" s="3" customFormat="1" ht="25.5" hidden="1" x14ac:dyDescent="0.25">
      <c r="A80" s="138" t="s">
        <v>185</v>
      </c>
      <c r="B80" s="139" t="s">
        <v>186</v>
      </c>
      <c r="C80" s="140"/>
      <c r="D80" s="100"/>
      <c r="E80" s="100"/>
      <c r="F80" s="100"/>
      <c r="G80" s="100"/>
      <c r="H80" s="100"/>
      <c r="I80" s="100">
        <v>1</v>
      </c>
      <c r="J80" s="100">
        <f>2*2500</f>
        <v>5000</v>
      </c>
      <c r="K80" s="56">
        <f>I80*J80</f>
        <v>5000</v>
      </c>
      <c r="L80" s="100"/>
      <c r="M80" s="57">
        <f t="shared" si="17"/>
        <v>5000</v>
      </c>
      <c r="N80" s="100"/>
      <c r="O80" s="100">
        <f>M80</f>
        <v>5000</v>
      </c>
      <c r="P80" s="100"/>
      <c r="Q80" s="100"/>
      <c r="R80" s="100"/>
      <c r="S80" s="58">
        <f>O80+P80+Q80+R80</f>
        <v>5000</v>
      </c>
      <c r="T80" s="100"/>
      <c r="U80" s="100"/>
      <c r="V80" s="100"/>
      <c r="W80" s="100"/>
      <c r="X80" s="100"/>
      <c r="Y80" s="100"/>
      <c r="Z80" s="100"/>
      <c r="AA80" s="100"/>
      <c r="AB80" s="100"/>
      <c r="AC80" s="100"/>
      <c r="AD80" s="100"/>
      <c r="AE80" s="100"/>
      <c r="AF80" s="100"/>
      <c r="AG80" s="100"/>
      <c r="AH80" s="100"/>
      <c r="AI80" s="100"/>
      <c r="AJ80" s="100"/>
      <c r="AK80" s="100"/>
      <c r="AL80" s="100"/>
      <c r="AM80" s="100"/>
      <c r="AN80" s="100"/>
      <c r="AO80" s="141"/>
      <c r="AP80" s="104"/>
      <c r="AQ80" s="105"/>
      <c r="AR80" s="104"/>
      <c r="AS80" s="104"/>
      <c r="AT80" s="104"/>
      <c r="AU80" s="104"/>
      <c r="AV80" s="71">
        <f t="shared" si="18"/>
        <v>0</v>
      </c>
      <c r="AW80" s="105"/>
      <c r="AX80" s="105"/>
      <c r="AY80" s="105"/>
      <c r="AZ80" s="105"/>
      <c r="BA80" s="105"/>
      <c r="BB80" s="105"/>
      <c r="BC80" s="105"/>
      <c r="BD80" s="105"/>
      <c r="BE80" s="105"/>
      <c r="BF80" s="105"/>
      <c r="BG80" s="105"/>
      <c r="BH80" s="105"/>
      <c r="BI80" s="105"/>
      <c r="BJ80" s="105"/>
      <c r="BK80" s="105"/>
      <c r="BL80" s="105"/>
      <c r="BM80" s="105"/>
      <c r="BN80" s="105"/>
      <c r="BO80" s="105"/>
      <c r="BP80" s="105"/>
      <c r="BQ80" s="105"/>
      <c r="BR80" s="105"/>
      <c r="BS80" s="105"/>
      <c r="BT80" s="105"/>
      <c r="BU80" s="105"/>
      <c r="BV80" s="105"/>
      <c r="BW80" s="105"/>
      <c r="BX80" s="105"/>
      <c r="BY80" s="105"/>
      <c r="BZ80" s="105"/>
      <c r="CA80" s="105"/>
      <c r="CB80" s="105"/>
      <c r="CC80" s="105"/>
      <c r="CD80" s="105"/>
      <c r="CE80" s="105"/>
      <c r="CF80" s="105"/>
      <c r="CG80" s="105"/>
      <c r="CH80" s="105"/>
      <c r="CI80" s="105"/>
      <c r="CJ80" s="105"/>
      <c r="CK80" s="105"/>
      <c r="CL80" s="105"/>
    </row>
    <row r="81" spans="1:90" s="3" customFormat="1" ht="15.75" hidden="1" x14ac:dyDescent="0.25">
      <c r="A81" s="138" t="s">
        <v>187</v>
      </c>
      <c r="B81" s="139" t="s">
        <v>188</v>
      </c>
      <c r="C81" s="140"/>
      <c r="D81" s="100"/>
      <c r="E81" s="100"/>
      <c r="F81" s="100"/>
      <c r="G81" s="100"/>
      <c r="H81" s="100"/>
      <c r="I81" s="100">
        <v>35</v>
      </c>
      <c r="J81" s="100">
        <v>50</v>
      </c>
      <c r="K81" s="56">
        <f>I81*J81</f>
        <v>1750</v>
      </c>
      <c r="L81" s="100"/>
      <c r="M81" s="57">
        <f t="shared" si="17"/>
        <v>1750</v>
      </c>
      <c r="N81" s="100"/>
      <c r="O81" s="100">
        <f>M81</f>
        <v>1750</v>
      </c>
      <c r="P81" s="100"/>
      <c r="Q81" s="100"/>
      <c r="R81" s="100"/>
      <c r="S81" s="58">
        <f>O81+P81+Q81+R81</f>
        <v>1750</v>
      </c>
      <c r="T81" s="100"/>
      <c r="U81" s="100"/>
      <c r="V81" s="100"/>
      <c r="W81" s="100"/>
      <c r="X81" s="100"/>
      <c r="Y81" s="100"/>
      <c r="Z81" s="100"/>
      <c r="AA81" s="100"/>
      <c r="AB81" s="100"/>
      <c r="AC81" s="100"/>
      <c r="AD81" s="100"/>
      <c r="AE81" s="100"/>
      <c r="AF81" s="100"/>
      <c r="AG81" s="100"/>
      <c r="AH81" s="100"/>
      <c r="AI81" s="100"/>
      <c r="AJ81" s="100"/>
      <c r="AK81" s="100"/>
      <c r="AL81" s="100"/>
      <c r="AM81" s="100"/>
      <c r="AN81" s="100"/>
      <c r="AO81" s="141"/>
      <c r="AP81" s="104"/>
      <c r="AQ81" s="105"/>
      <c r="AR81" s="104"/>
      <c r="AS81" s="104"/>
      <c r="AT81" s="104"/>
      <c r="AU81" s="104"/>
      <c r="AV81" s="71">
        <f t="shared" si="18"/>
        <v>0</v>
      </c>
      <c r="AW81" s="105"/>
      <c r="AX81" s="105"/>
      <c r="AY81" s="105"/>
      <c r="AZ81" s="105"/>
      <c r="BA81" s="105"/>
      <c r="BB81" s="105"/>
      <c r="BC81" s="105"/>
      <c r="BD81" s="105"/>
      <c r="BE81" s="105"/>
      <c r="BF81" s="105"/>
      <c r="BG81" s="105"/>
      <c r="BH81" s="105"/>
      <c r="BI81" s="105"/>
      <c r="BJ81" s="105"/>
      <c r="BK81" s="105"/>
      <c r="BL81" s="105"/>
      <c r="BM81" s="105"/>
      <c r="BN81" s="105"/>
      <c r="BO81" s="105"/>
      <c r="BP81" s="105"/>
      <c r="BQ81" s="105"/>
      <c r="BR81" s="105"/>
      <c r="BS81" s="105"/>
      <c r="BT81" s="105"/>
      <c r="BU81" s="105"/>
      <c r="BV81" s="105"/>
      <c r="BW81" s="105"/>
      <c r="BX81" s="105"/>
      <c r="BY81" s="105"/>
      <c r="BZ81" s="105"/>
      <c r="CA81" s="105"/>
      <c r="CB81" s="105"/>
      <c r="CC81" s="105"/>
      <c r="CD81" s="105"/>
      <c r="CE81" s="105"/>
      <c r="CF81" s="105"/>
      <c r="CG81" s="105"/>
      <c r="CH81" s="105"/>
      <c r="CI81" s="105"/>
      <c r="CJ81" s="105"/>
      <c r="CK81" s="105"/>
      <c r="CL81" s="105"/>
    </row>
    <row r="82" spans="1:90" ht="51" x14ac:dyDescent="0.25">
      <c r="A82" s="124" t="s">
        <v>183</v>
      </c>
      <c r="B82" s="51" t="s">
        <v>189</v>
      </c>
      <c r="C82" s="91" t="s">
        <v>62</v>
      </c>
      <c r="D82" s="125">
        <v>4800</v>
      </c>
      <c r="E82" s="125">
        <v>1</v>
      </c>
      <c r="F82" s="56">
        <f>D82*E82</f>
        <v>4800</v>
      </c>
      <c r="G82" s="56">
        <v>6000</v>
      </c>
      <c r="H82" s="56">
        <f>F82+G82</f>
        <v>10800</v>
      </c>
      <c r="I82" s="56"/>
      <c r="J82" s="56"/>
      <c r="K82" s="56"/>
      <c r="L82" s="56"/>
      <c r="M82" s="57">
        <f t="shared" si="17"/>
        <v>0</v>
      </c>
      <c r="N82" s="67"/>
      <c r="O82" s="100">
        <f>M82</f>
        <v>0</v>
      </c>
      <c r="P82" s="56"/>
      <c r="Q82" s="56"/>
      <c r="R82" s="56"/>
      <c r="S82" s="58">
        <f>O82+P82+Q82+R82</f>
        <v>0</v>
      </c>
      <c r="T82" s="67"/>
      <c r="U82" s="56">
        <v>4800</v>
      </c>
      <c r="V82" s="56">
        <v>1</v>
      </c>
      <c r="W82" s="64">
        <f>U82*V82</f>
        <v>4800</v>
      </c>
      <c r="X82" s="56">
        <v>6000</v>
      </c>
      <c r="Y82" s="56">
        <f>W82+X82</f>
        <v>10800</v>
      </c>
      <c r="Z82" s="67"/>
      <c r="AA82" s="56">
        <v>4800</v>
      </c>
      <c r="AB82" s="56">
        <v>1</v>
      </c>
      <c r="AC82" s="56">
        <f>AA82*AB82</f>
        <v>4800</v>
      </c>
      <c r="AD82" s="56">
        <v>6000</v>
      </c>
      <c r="AE82" s="56">
        <f>AC82+AD82</f>
        <v>10800</v>
      </c>
      <c r="AF82" s="56">
        <v>4800</v>
      </c>
      <c r="AG82" s="56">
        <v>0</v>
      </c>
      <c r="AH82" s="64">
        <f>AF82*AG82</f>
        <v>0</v>
      </c>
      <c r="AI82" s="56"/>
      <c r="AJ82" s="56">
        <f>AH82+AI82</f>
        <v>0</v>
      </c>
      <c r="AK82" s="64">
        <f t="shared" ref="AK82:AM83" si="19">E82+V82+AG82</f>
        <v>2</v>
      </c>
      <c r="AL82" s="64">
        <f t="shared" si="19"/>
        <v>9600</v>
      </c>
      <c r="AM82" s="64">
        <f t="shared" si="19"/>
        <v>12000</v>
      </c>
      <c r="AN82" s="57">
        <f>AL82+AM82</f>
        <v>21600</v>
      </c>
      <c r="AO82" s="126"/>
      <c r="AP82" s="49"/>
      <c r="AQ82" s="4"/>
      <c r="AR82" s="49">
        <v>4800</v>
      </c>
      <c r="AS82" s="49"/>
      <c r="AT82" s="49"/>
      <c r="AU82" s="49"/>
      <c r="AV82" s="71">
        <f t="shared" si="18"/>
        <v>4800</v>
      </c>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row>
    <row r="83" spans="1:90" x14ac:dyDescent="0.25">
      <c r="A83" s="124" t="s">
        <v>184</v>
      </c>
      <c r="B83" s="102" t="s">
        <v>190</v>
      </c>
      <c r="C83" s="91" t="s">
        <v>70</v>
      </c>
      <c r="D83" s="125">
        <v>1500</v>
      </c>
      <c r="E83" s="125">
        <v>1</v>
      </c>
      <c r="F83" s="56">
        <f>D83*E83</f>
        <v>1500</v>
      </c>
      <c r="G83" s="56"/>
      <c r="H83" s="56">
        <f>F83+G83</f>
        <v>1500</v>
      </c>
      <c r="I83" s="56"/>
      <c r="J83" s="56"/>
      <c r="K83" s="56"/>
      <c r="L83" s="56"/>
      <c r="M83" s="57">
        <f t="shared" si="17"/>
        <v>0</v>
      </c>
      <c r="N83" s="67"/>
      <c r="O83" s="100"/>
      <c r="P83" s="100"/>
      <c r="Q83" s="100"/>
      <c r="R83" s="100"/>
      <c r="S83" s="142"/>
      <c r="T83" s="67"/>
      <c r="U83" s="56">
        <v>1500</v>
      </c>
      <c r="V83" s="56">
        <v>1</v>
      </c>
      <c r="W83" s="64">
        <f>U83*V83</f>
        <v>1500</v>
      </c>
      <c r="X83" s="56"/>
      <c r="Y83" s="56">
        <f>W83+X83</f>
        <v>1500</v>
      </c>
      <c r="Z83" s="67"/>
      <c r="AA83" s="56">
        <v>1500</v>
      </c>
      <c r="AB83" s="56">
        <v>1</v>
      </c>
      <c r="AC83" s="56">
        <f>AA83*AB83</f>
        <v>1500</v>
      </c>
      <c r="AD83" s="56"/>
      <c r="AE83" s="56">
        <f>AC83+AD83</f>
        <v>1500</v>
      </c>
      <c r="AF83" s="56">
        <v>1500</v>
      </c>
      <c r="AG83" s="56">
        <v>0</v>
      </c>
      <c r="AH83" s="64">
        <f>AF83*AG83</f>
        <v>0</v>
      </c>
      <c r="AI83" s="56"/>
      <c r="AJ83" s="56">
        <f>AH83+AI83</f>
        <v>0</v>
      </c>
      <c r="AK83" s="64">
        <f t="shared" si="19"/>
        <v>2</v>
      </c>
      <c r="AL83" s="64">
        <f t="shared" si="19"/>
        <v>3000</v>
      </c>
      <c r="AM83" s="64">
        <f t="shared" si="19"/>
        <v>0</v>
      </c>
      <c r="AN83" s="57">
        <f>AL83+AM83</f>
        <v>3000</v>
      </c>
      <c r="AO83" s="143"/>
      <c r="AP83" s="49"/>
      <c r="AQ83" s="4"/>
      <c r="AR83" s="49">
        <v>1500</v>
      </c>
      <c r="AS83" s="49"/>
      <c r="AT83" s="49"/>
      <c r="AU83" s="49"/>
      <c r="AV83" s="71">
        <f t="shared" si="18"/>
        <v>1500</v>
      </c>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row>
    <row r="84" spans="1:90" ht="15.75" x14ac:dyDescent="0.25">
      <c r="A84" s="94"/>
      <c r="B84" s="95" t="s">
        <v>181</v>
      </c>
      <c r="C84" s="96"/>
      <c r="D84" s="97">
        <f>SUM(D82:D83)</f>
        <v>6300</v>
      </c>
      <c r="E84" s="98">
        <v>1</v>
      </c>
      <c r="F84" s="97">
        <f>SUM(F82:F83)</f>
        <v>6300</v>
      </c>
      <c r="G84" s="97">
        <f>SUM(G82:G83)</f>
        <v>6000</v>
      </c>
      <c r="H84" s="97">
        <f>SUM(H82:H83)</f>
        <v>12300</v>
      </c>
      <c r="I84" s="99">
        <v>1</v>
      </c>
      <c r="J84" s="97"/>
      <c r="K84" s="97">
        <f>SUM(K78:K81)</f>
        <v>14170</v>
      </c>
      <c r="L84" s="97">
        <f>SUM(L82:L83)</f>
        <v>0</v>
      </c>
      <c r="M84" s="97">
        <f>SUM(M78:M81)</f>
        <v>14170</v>
      </c>
      <c r="N84" s="100"/>
      <c r="O84" s="97">
        <f>SUM(O78:O81)</f>
        <v>14170</v>
      </c>
      <c r="P84" s="97">
        <f>SUM(P78:P81)</f>
        <v>0</v>
      </c>
      <c r="Q84" s="97">
        <f>SUM(Q78:Q81)</f>
        <v>0</v>
      </c>
      <c r="R84" s="97">
        <f>SUM(R78:R81)</f>
        <v>0</v>
      </c>
      <c r="S84" s="58">
        <f>O84+P84+Q84+R84</f>
        <v>14170</v>
      </c>
      <c r="T84" s="100"/>
      <c r="U84" s="97">
        <f>SUM(U82:U83)</f>
        <v>6300</v>
      </c>
      <c r="V84" s="98">
        <v>1</v>
      </c>
      <c r="W84" s="97">
        <f>SUM(W82:W83)</f>
        <v>6300</v>
      </c>
      <c r="X84" s="97">
        <f>SUM(X82:X83)</f>
        <v>6000</v>
      </c>
      <c r="Y84" s="97">
        <f>SUM(Y82:Y83)</f>
        <v>12300</v>
      </c>
      <c r="Z84" s="100"/>
      <c r="AA84" s="97"/>
      <c r="AB84" s="98">
        <v>1</v>
      </c>
      <c r="AC84" s="97">
        <f t="shared" ref="AC84:AJ84" si="20">SUM(AC82:AC83)</f>
        <v>6300</v>
      </c>
      <c r="AD84" s="97">
        <f t="shared" si="20"/>
        <v>6000</v>
      </c>
      <c r="AE84" s="97">
        <f t="shared" si="20"/>
        <v>12300</v>
      </c>
      <c r="AF84" s="97">
        <f t="shared" si="20"/>
        <v>6300</v>
      </c>
      <c r="AG84" s="98">
        <f t="shared" si="20"/>
        <v>0</v>
      </c>
      <c r="AH84" s="97">
        <f t="shared" si="20"/>
        <v>0</v>
      </c>
      <c r="AI84" s="97">
        <f t="shared" si="20"/>
        <v>0</v>
      </c>
      <c r="AJ84" s="97">
        <f t="shared" si="20"/>
        <v>0</v>
      </c>
      <c r="AK84" s="78">
        <f>AG84+V84+E84</f>
        <v>2</v>
      </c>
      <c r="AL84" s="97">
        <f>SUM(AL82:AL83)</f>
        <v>12600</v>
      </c>
      <c r="AM84" s="97">
        <f>SUM(AM82:AM83)</f>
        <v>12000</v>
      </c>
      <c r="AN84" s="97">
        <f>SUM(AN82:AN83)</f>
        <v>24600</v>
      </c>
      <c r="AO84" s="101">
        <f>SUM(AO82:AO83)</f>
        <v>0</v>
      </c>
      <c r="AP84" s="49"/>
      <c r="AQ84" s="101"/>
      <c r="AR84" s="97">
        <f>SUM(AR82:AR83)</f>
        <v>6300</v>
      </c>
      <c r="AS84" s="97">
        <f>SUM(AS82:AS83)</f>
        <v>0</v>
      </c>
      <c r="AT84" s="97">
        <f>SUM(AT82:AT83)</f>
        <v>0</v>
      </c>
      <c r="AU84" s="97">
        <f>SUM(AU82:AU83)</f>
        <v>0</v>
      </c>
      <c r="AV84" s="71">
        <f t="shared" si="18"/>
        <v>6300</v>
      </c>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row>
    <row r="85" spans="1:90" ht="15.75" x14ac:dyDescent="0.25">
      <c r="A85" s="144">
        <v>2.9</v>
      </c>
      <c r="B85" s="81" t="s">
        <v>191</v>
      </c>
      <c r="C85" s="121"/>
      <c r="D85" s="122"/>
      <c r="E85" s="122"/>
      <c r="F85" s="122"/>
      <c r="G85" s="122"/>
      <c r="H85" s="122"/>
      <c r="I85" s="122"/>
      <c r="J85" s="122"/>
      <c r="K85" s="122"/>
      <c r="L85" s="122"/>
      <c r="M85" s="122"/>
      <c r="N85" s="100"/>
      <c r="O85" s="122"/>
      <c r="P85" s="122"/>
      <c r="Q85" s="122"/>
      <c r="R85" s="122"/>
      <c r="S85" s="122"/>
      <c r="T85" s="100"/>
      <c r="U85" s="122"/>
      <c r="V85" s="122"/>
      <c r="W85" s="122"/>
      <c r="X85" s="122"/>
      <c r="Y85" s="122"/>
      <c r="Z85" s="100"/>
      <c r="AA85" s="122"/>
      <c r="AB85" s="122"/>
      <c r="AC85" s="122"/>
      <c r="AD85" s="122"/>
      <c r="AE85" s="122"/>
      <c r="AF85" s="122"/>
      <c r="AG85" s="122"/>
      <c r="AH85" s="122"/>
      <c r="AI85" s="122"/>
      <c r="AJ85" s="122"/>
      <c r="AK85" s="122"/>
      <c r="AL85" s="122"/>
      <c r="AM85" s="122"/>
      <c r="AN85" s="122"/>
      <c r="AO85" s="123"/>
      <c r="AP85" s="49"/>
      <c r="AQ85" s="4"/>
      <c r="AR85" s="65"/>
      <c r="AS85" s="65"/>
      <c r="AT85" s="65"/>
      <c r="AU85" s="65"/>
      <c r="AV85" s="65"/>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row>
    <row r="86" spans="1:90" ht="25.5" hidden="1" x14ac:dyDescent="0.25">
      <c r="A86" s="124" t="s">
        <v>192</v>
      </c>
      <c r="B86" s="51" t="s">
        <v>193</v>
      </c>
      <c r="C86" s="91" t="s">
        <v>62</v>
      </c>
      <c r="D86" s="125">
        <v>90000</v>
      </c>
      <c r="E86" s="125">
        <v>1</v>
      </c>
      <c r="F86" s="56">
        <f>D86*E86</f>
        <v>90000</v>
      </c>
      <c r="G86" s="56">
        <v>30000</v>
      </c>
      <c r="H86" s="56">
        <f>F86+G86</f>
        <v>120000</v>
      </c>
      <c r="I86" s="56"/>
      <c r="J86" s="56"/>
      <c r="K86" s="56">
        <v>90000</v>
      </c>
      <c r="L86" s="56">
        <v>30000</v>
      </c>
      <c r="M86" s="57">
        <f>K86+L86</f>
        <v>120000</v>
      </c>
      <c r="N86" s="67"/>
      <c r="O86" s="56"/>
      <c r="P86" s="56"/>
      <c r="Q86" s="56">
        <f>K86/2</f>
        <v>45000</v>
      </c>
      <c r="R86" s="56">
        <f>K86/2</f>
        <v>45000</v>
      </c>
      <c r="S86" s="58">
        <f>O86+P86+Q86+R86</f>
        <v>90000</v>
      </c>
      <c r="T86" s="67"/>
      <c r="U86" s="56">
        <v>90000</v>
      </c>
      <c r="V86" s="56">
        <v>0</v>
      </c>
      <c r="W86" s="64">
        <f>U86*V86</f>
        <v>0</v>
      </c>
      <c r="X86" s="56">
        <v>0</v>
      </c>
      <c r="Y86" s="56">
        <f>W86+X86</f>
        <v>0</v>
      </c>
      <c r="Z86" s="67"/>
      <c r="AA86" s="56"/>
      <c r="AB86" s="56"/>
      <c r="AC86" s="56"/>
      <c r="AD86" s="56"/>
      <c r="AE86" s="56"/>
      <c r="AF86" s="56">
        <v>90000</v>
      </c>
      <c r="AG86" s="56">
        <v>0</v>
      </c>
      <c r="AH86" s="64">
        <f>AF86*AG86</f>
        <v>0</v>
      </c>
      <c r="AI86" s="56"/>
      <c r="AJ86" s="56">
        <f>AH86+AI86</f>
        <v>0</v>
      </c>
      <c r="AK86" s="64">
        <f t="shared" ref="AK86:AM87" si="21">E86+V86+AG86</f>
        <v>1</v>
      </c>
      <c r="AL86" s="64">
        <f t="shared" si="21"/>
        <v>90000</v>
      </c>
      <c r="AM86" s="64">
        <f t="shared" si="21"/>
        <v>30000</v>
      </c>
      <c r="AN86" s="57">
        <f>AL86+AM86</f>
        <v>120000</v>
      </c>
      <c r="AO86" s="126"/>
      <c r="AP86" s="49"/>
      <c r="AQ86" s="4"/>
      <c r="AR86" s="49"/>
      <c r="AS86" s="49"/>
      <c r="AT86" s="49"/>
      <c r="AU86" s="49"/>
      <c r="AV86" s="71">
        <f>AR86+AS86+AT86+AU86</f>
        <v>0</v>
      </c>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row>
    <row r="87" spans="1:90" ht="25.5" hidden="1" x14ac:dyDescent="0.25">
      <c r="A87" s="145" t="s">
        <v>194</v>
      </c>
      <c r="B87" s="146" t="s">
        <v>195</v>
      </c>
      <c r="C87" s="147" t="s">
        <v>70</v>
      </c>
      <c r="D87" s="148">
        <v>2000</v>
      </c>
      <c r="E87" s="148">
        <v>1</v>
      </c>
      <c r="F87" s="149">
        <f>D87*E87</f>
        <v>2000</v>
      </c>
      <c r="G87" s="149">
        <v>0</v>
      </c>
      <c r="H87" s="149">
        <f>F87+G87</f>
        <v>2000</v>
      </c>
      <c r="I87" s="56"/>
      <c r="J87" s="56"/>
      <c r="K87" s="56">
        <f>I87*J87</f>
        <v>0</v>
      </c>
      <c r="L87" s="56"/>
      <c r="M87" s="57">
        <f>K87+L87</f>
        <v>0</v>
      </c>
      <c r="N87" s="67"/>
      <c r="O87" s="56"/>
      <c r="P87" s="56"/>
      <c r="Q87" s="56"/>
      <c r="R87" s="56"/>
      <c r="S87" s="58">
        <f>O87+P87+Q87+R87</f>
        <v>0</v>
      </c>
      <c r="T87" s="67"/>
      <c r="U87" s="56">
        <v>2000</v>
      </c>
      <c r="V87" s="56">
        <v>0</v>
      </c>
      <c r="W87" s="64">
        <f>U87*V87</f>
        <v>0</v>
      </c>
      <c r="X87" s="56">
        <v>0</v>
      </c>
      <c r="Y87" s="56">
        <f>W87+X87</f>
        <v>0</v>
      </c>
      <c r="Z87" s="67"/>
      <c r="AA87" s="56"/>
      <c r="AB87" s="56"/>
      <c r="AC87" s="56"/>
      <c r="AD87" s="56"/>
      <c r="AE87" s="56"/>
      <c r="AF87" s="56">
        <v>2000</v>
      </c>
      <c r="AG87" s="56">
        <v>0</v>
      </c>
      <c r="AH87" s="64">
        <f>AF87*AG87</f>
        <v>0</v>
      </c>
      <c r="AI87" s="56"/>
      <c r="AJ87" s="56">
        <f>AH87+AI87</f>
        <v>0</v>
      </c>
      <c r="AK87" s="64">
        <f t="shared" si="21"/>
        <v>1</v>
      </c>
      <c r="AL87" s="64">
        <f t="shared" si="21"/>
        <v>2000</v>
      </c>
      <c r="AM87" s="64">
        <f t="shared" si="21"/>
        <v>0</v>
      </c>
      <c r="AN87" s="57">
        <f>AL87+AM87</f>
        <v>2000</v>
      </c>
      <c r="AO87" s="126"/>
      <c r="AP87" s="49"/>
      <c r="AQ87" s="4"/>
      <c r="AR87" s="49"/>
      <c r="AS87" s="49"/>
      <c r="AT87" s="49"/>
      <c r="AU87" s="49"/>
      <c r="AV87" s="71">
        <f>AR87+AS87+AT87+AU87</f>
        <v>0</v>
      </c>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row>
    <row r="88" spans="1:90" ht="15.75" x14ac:dyDescent="0.25">
      <c r="A88" s="94"/>
      <c r="B88" s="95" t="s">
        <v>196</v>
      </c>
      <c r="C88" s="96"/>
      <c r="D88" s="97">
        <f>SUM(D86:D87)</f>
        <v>92000</v>
      </c>
      <c r="E88" s="98">
        <v>1</v>
      </c>
      <c r="F88" s="97">
        <f>SUM(F86:F87)</f>
        <v>92000</v>
      </c>
      <c r="G88" s="97">
        <f>SUM(G86:G87)</f>
        <v>30000</v>
      </c>
      <c r="H88" s="97">
        <f>SUM(H86:H87)</f>
        <v>122000</v>
      </c>
      <c r="I88" s="99">
        <v>2</v>
      </c>
      <c r="J88" s="97"/>
      <c r="K88" s="97">
        <f>SUM(K86:K87)</f>
        <v>90000</v>
      </c>
      <c r="L88" s="97">
        <f>SUM(L86:L87)</f>
        <v>30000</v>
      </c>
      <c r="M88" s="97">
        <f>SUM(M86:M87)</f>
        <v>120000</v>
      </c>
      <c r="N88" s="100"/>
      <c r="O88" s="97">
        <f>SUM(O86:O87)</f>
        <v>0</v>
      </c>
      <c r="P88" s="97">
        <f>SUM(P86:P87)</f>
        <v>0</v>
      </c>
      <c r="Q88" s="97">
        <f>SUM(Q86:Q87)</f>
        <v>45000</v>
      </c>
      <c r="R88" s="97">
        <f>SUM(R86:R87)</f>
        <v>45000</v>
      </c>
      <c r="S88" s="58">
        <f>O88+P88+Q88+R88</f>
        <v>90000</v>
      </c>
      <c r="T88" s="100"/>
      <c r="U88" s="97">
        <f>SUM(U86:U87)</f>
        <v>92000</v>
      </c>
      <c r="V88" s="98">
        <f>SUM(V86:V87)</f>
        <v>0</v>
      </c>
      <c r="W88" s="97">
        <f>SUM(W86:W87)</f>
        <v>0</v>
      </c>
      <c r="X88" s="97">
        <f>SUM(X86:X87)</f>
        <v>0</v>
      </c>
      <c r="Y88" s="97">
        <f>SUM(Y86:Y87)</f>
        <v>0</v>
      </c>
      <c r="Z88" s="100"/>
      <c r="AA88" s="97"/>
      <c r="AB88" s="97"/>
      <c r="AC88" s="97"/>
      <c r="AD88" s="97"/>
      <c r="AE88" s="97"/>
      <c r="AF88" s="97">
        <f>SUM(AF86:AF87)</f>
        <v>92000</v>
      </c>
      <c r="AG88" s="98">
        <f>SUM(AG86:AG87)</f>
        <v>0</v>
      </c>
      <c r="AH88" s="97">
        <f>SUM(AH86:AH87)</f>
        <v>0</v>
      </c>
      <c r="AI88" s="97">
        <f>SUM(AI86:AI87)</f>
        <v>0</v>
      </c>
      <c r="AJ88" s="97">
        <f>SUM(AJ86:AJ87)</f>
        <v>0</v>
      </c>
      <c r="AK88" s="78">
        <f>AG88+V88+E88</f>
        <v>1</v>
      </c>
      <c r="AL88" s="97">
        <f>SUM(AL86:AL87)</f>
        <v>92000</v>
      </c>
      <c r="AM88" s="97">
        <f>SUM(AM86:AM87)</f>
        <v>30000</v>
      </c>
      <c r="AN88" s="97">
        <f>SUM(AN86:AN87)</f>
        <v>122000</v>
      </c>
      <c r="AO88" s="101">
        <f>SUM(AO86:AO87)</f>
        <v>0</v>
      </c>
      <c r="AP88" s="49"/>
      <c r="AQ88" s="4"/>
      <c r="AR88" s="97"/>
      <c r="AS88" s="97"/>
      <c r="AT88" s="97"/>
      <c r="AU88" s="97"/>
      <c r="AV88" s="71">
        <f>AR88+AS88+AT88+AU88</f>
        <v>0</v>
      </c>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row>
    <row r="89" spans="1:90" ht="31.5" x14ac:dyDescent="0.25">
      <c r="A89" s="150">
        <v>2.1</v>
      </c>
      <c r="B89" s="81" t="s">
        <v>197</v>
      </c>
      <c r="C89" s="121"/>
      <c r="D89" s="122"/>
      <c r="E89" s="122"/>
      <c r="F89" s="122"/>
      <c r="G89" s="122"/>
      <c r="H89" s="122"/>
      <c r="I89" s="122"/>
      <c r="J89" s="122"/>
      <c r="K89" s="122"/>
      <c r="L89" s="122"/>
      <c r="M89" s="122"/>
      <c r="N89" s="100"/>
      <c r="O89" s="122"/>
      <c r="P89" s="122"/>
      <c r="Q89" s="122"/>
      <c r="R89" s="122"/>
      <c r="S89" s="122"/>
      <c r="T89" s="100"/>
      <c r="U89" s="122"/>
      <c r="V89" s="122"/>
      <c r="W89" s="122"/>
      <c r="X89" s="122"/>
      <c r="Y89" s="122"/>
      <c r="Z89" s="100"/>
      <c r="AA89" s="122"/>
      <c r="AB89" s="122"/>
      <c r="AC89" s="122"/>
      <c r="AD89" s="122"/>
      <c r="AE89" s="122"/>
      <c r="AF89" s="122"/>
      <c r="AG89" s="122"/>
      <c r="AH89" s="122"/>
      <c r="AI89" s="122"/>
      <c r="AJ89" s="122"/>
      <c r="AK89" s="122"/>
      <c r="AL89" s="122"/>
      <c r="AM89" s="122"/>
      <c r="AN89" s="122"/>
      <c r="AO89" s="123"/>
      <c r="AP89" s="49"/>
      <c r="AQ89" s="4"/>
      <c r="AR89" s="65"/>
      <c r="AS89" s="65"/>
      <c r="AT89" s="65"/>
      <c r="AU89" s="65"/>
      <c r="AV89" s="65"/>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row>
    <row r="90" spans="1:90" ht="25.5" hidden="1" x14ac:dyDescent="0.25">
      <c r="A90" s="124" t="s">
        <v>198</v>
      </c>
      <c r="B90" s="51" t="s">
        <v>199</v>
      </c>
      <c r="C90" s="91" t="s">
        <v>78</v>
      </c>
      <c r="D90" s="125">
        <v>109250</v>
      </c>
      <c r="E90" s="125">
        <v>1</v>
      </c>
      <c r="F90" s="56">
        <f>D90*E90</f>
        <v>109250</v>
      </c>
      <c r="G90" s="56">
        <v>109250</v>
      </c>
      <c r="H90" s="56">
        <f>F90+G90</f>
        <v>218500</v>
      </c>
      <c r="I90" s="56">
        <v>437</v>
      </c>
      <c r="J90" s="56">
        <v>250</v>
      </c>
      <c r="K90" s="56">
        <f>I90*J90</f>
        <v>109250</v>
      </c>
      <c r="L90" s="56"/>
      <c r="M90" s="57">
        <f>K90+L90</f>
        <v>109250</v>
      </c>
      <c r="N90" s="67"/>
      <c r="O90" s="56"/>
      <c r="P90" s="56"/>
      <c r="Q90" s="56">
        <f>K90</f>
        <v>109250</v>
      </c>
      <c r="R90" s="56"/>
      <c r="S90" s="58">
        <f>O90+P90+Q90+R90</f>
        <v>109250</v>
      </c>
      <c r="T90" s="67"/>
      <c r="U90" s="56">
        <v>109250</v>
      </c>
      <c r="V90" s="56">
        <v>0</v>
      </c>
      <c r="W90" s="64">
        <f>U90*V90</f>
        <v>0</v>
      </c>
      <c r="X90" s="56"/>
      <c r="Y90" s="56">
        <f>W90+X90</f>
        <v>0</v>
      </c>
      <c r="Z90" s="67"/>
      <c r="AA90" s="56"/>
      <c r="AB90" s="56"/>
      <c r="AC90" s="56"/>
      <c r="AD90" s="56"/>
      <c r="AE90" s="56"/>
      <c r="AF90" s="56">
        <v>109250</v>
      </c>
      <c r="AG90" s="56">
        <v>0</v>
      </c>
      <c r="AH90" s="64">
        <f>AF90*AG90</f>
        <v>0</v>
      </c>
      <c r="AI90" s="56"/>
      <c r="AJ90" s="56">
        <f>AH90+AI90</f>
        <v>0</v>
      </c>
      <c r="AK90" s="64">
        <f t="shared" ref="AK90:AM91" si="22">E90+V90+AG90</f>
        <v>1</v>
      </c>
      <c r="AL90" s="64">
        <f t="shared" si="22"/>
        <v>109250</v>
      </c>
      <c r="AM90" s="64">
        <f t="shared" si="22"/>
        <v>109250</v>
      </c>
      <c r="AN90" s="57">
        <f>AL90+AM90</f>
        <v>218500</v>
      </c>
      <c r="AO90" s="126"/>
      <c r="AP90" s="49"/>
      <c r="AQ90" s="4"/>
      <c r="AR90" s="49"/>
      <c r="AS90" s="49"/>
      <c r="AT90" s="49"/>
      <c r="AU90" s="49"/>
      <c r="AV90" s="71">
        <f>AR90+AS90+AT90+AU90</f>
        <v>0</v>
      </c>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row>
    <row r="91" spans="1:90" hidden="1" x14ac:dyDescent="0.25">
      <c r="A91" s="124" t="s">
        <v>194</v>
      </c>
      <c r="B91" s="51" t="s">
        <v>200</v>
      </c>
      <c r="C91" s="91" t="s">
        <v>201</v>
      </c>
      <c r="D91" s="125">
        <v>1000</v>
      </c>
      <c r="E91" s="125">
        <v>1</v>
      </c>
      <c r="F91" s="56">
        <f>D91*E91</f>
        <v>1000</v>
      </c>
      <c r="G91" s="56"/>
      <c r="H91" s="56">
        <f>F91+G91</f>
        <v>1000</v>
      </c>
      <c r="I91" s="56">
        <v>1</v>
      </c>
      <c r="J91" s="56">
        <v>1000</v>
      </c>
      <c r="K91" s="56">
        <v>1000</v>
      </c>
      <c r="L91" s="56"/>
      <c r="M91" s="57">
        <f>K91+L91</f>
        <v>1000</v>
      </c>
      <c r="N91" s="67"/>
      <c r="O91" s="56"/>
      <c r="P91" s="56"/>
      <c r="Q91" s="56">
        <f>M91</f>
        <v>1000</v>
      </c>
      <c r="R91" s="56"/>
      <c r="S91" s="58">
        <f>O91+P91+Q91+R91</f>
        <v>1000</v>
      </c>
      <c r="T91" s="67"/>
      <c r="U91" s="56">
        <v>1000</v>
      </c>
      <c r="V91" s="56">
        <v>0</v>
      </c>
      <c r="W91" s="64">
        <f>U91*V91</f>
        <v>0</v>
      </c>
      <c r="X91" s="56"/>
      <c r="Y91" s="56">
        <f>W91+X91</f>
        <v>0</v>
      </c>
      <c r="Z91" s="67"/>
      <c r="AA91" s="56"/>
      <c r="AB91" s="56"/>
      <c r="AC91" s="56"/>
      <c r="AD91" s="56"/>
      <c r="AE91" s="56"/>
      <c r="AF91" s="56">
        <v>1000</v>
      </c>
      <c r="AG91" s="56">
        <v>0</v>
      </c>
      <c r="AH91" s="64">
        <f>AF91*AG91</f>
        <v>0</v>
      </c>
      <c r="AI91" s="56"/>
      <c r="AJ91" s="56">
        <f>AH91+AI91</f>
        <v>0</v>
      </c>
      <c r="AK91" s="64">
        <f t="shared" si="22"/>
        <v>1</v>
      </c>
      <c r="AL91" s="64">
        <f t="shared" si="22"/>
        <v>1000</v>
      </c>
      <c r="AM91" s="64">
        <f t="shared" si="22"/>
        <v>0</v>
      </c>
      <c r="AN91" s="57">
        <f>AL91+AM91</f>
        <v>1000</v>
      </c>
      <c r="AO91" s="126"/>
      <c r="AP91" s="49"/>
      <c r="AQ91" s="4"/>
      <c r="AR91" s="49"/>
      <c r="AS91" s="49"/>
      <c r="AT91" s="49"/>
      <c r="AU91" s="49"/>
      <c r="AV91" s="71">
        <f>AR91+AS91+AT91+AU91</f>
        <v>0</v>
      </c>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row>
    <row r="92" spans="1:90" ht="15.75" x14ac:dyDescent="0.25">
      <c r="A92" s="94"/>
      <c r="B92" s="95" t="s">
        <v>196</v>
      </c>
      <c r="C92" s="96"/>
      <c r="D92" s="97">
        <f>SUM(D90:D91)</f>
        <v>110250</v>
      </c>
      <c r="E92" s="98">
        <v>1</v>
      </c>
      <c r="F92" s="97">
        <f>SUM(F90:F91)</f>
        <v>110250</v>
      </c>
      <c r="G92" s="97">
        <f>SUM(G90:G91)</f>
        <v>109250</v>
      </c>
      <c r="H92" s="97">
        <f>SUM(H90:H91)</f>
        <v>219500</v>
      </c>
      <c r="I92" s="99">
        <v>1</v>
      </c>
      <c r="J92" s="97"/>
      <c r="K92" s="97">
        <f>SUM(K90:K91)</f>
        <v>110250</v>
      </c>
      <c r="L92" s="97">
        <f>SUM(L90:L91)</f>
        <v>0</v>
      </c>
      <c r="M92" s="97">
        <f>SUM(M90:M91)</f>
        <v>110250</v>
      </c>
      <c r="N92" s="100"/>
      <c r="O92" s="97">
        <f>SUM(O90:O91)</f>
        <v>0</v>
      </c>
      <c r="P92" s="97">
        <f>SUM(P90:P91)</f>
        <v>0</v>
      </c>
      <c r="Q92" s="97">
        <f>SUM(Q90:Q91)</f>
        <v>110250</v>
      </c>
      <c r="R92" s="97">
        <f>SUM(R90:R91)</f>
        <v>0</v>
      </c>
      <c r="S92" s="58">
        <f>O92+P92+Q92+R92</f>
        <v>110250</v>
      </c>
      <c r="T92" s="100"/>
      <c r="U92" s="97">
        <f>SUM(U90:U91)</f>
        <v>110250</v>
      </c>
      <c r="V92" s="98">
        <f>SUM(V90:V91)</f>
        <v>0</v>
      </c>
      <c r="W92" s="97">
        <f>SUM(W90:W91)</f>
        <v>0</v>
      </c>
      <c r="X92" s="97">
        <f>SUM(X90:X91)</f>
        <v>0</v>
      </c>
      <c r="Y92" s="97">
        <f>SUM(Y90:Y91)</f>
        <v>0</v>
      </c>
      <c r="Z92" s="100"/>
      <c r="AA92" s="97"/>
      <c r="AB92" s="97"/>
      <c r="AC92" s="97"/>
      <c r="AD92" s="97"/>
      <c r="AE92" s="97"/>
      <c r="AF92" s="97">
        <f>SUM(AF90:AF91)</f>
        <v>110250</v>
      </c>
      <c r="AG92" s="98">
        <f>SUM(AG90:AG91)</f>
        <v>0</v>
      </c>
      <c r="AH92" s="97">
        <f>SUM(AH90:AH91)</f>
        <v>0</v>
      </c>
      <c r="AI92" s="97">
        <f>SUM(AI90:AI91)</f>
        <v>0</v>
      </c>
      <c r="AJ92" s="97">
        <f>SUM(AJ90:AJ91)</f>
        <v>0</v>
      </c>
      <c r="AK92" s="78">
        <f>AG92+V92+E92</f>
        <v>1</v>
      </c>
      <c r="AL92" s="97">
        <f>SUM(AL90:AL91)</f>
        <v>110250</v>
      </c>
      <c r="AM92" s="97">
        <f>SUM(AM90:AM91)</f>
        <v>109250</v>
      </c>
      <c r="AN92" s="97">
        <f>SUM(AN90:AN91)</f>
        <v>219500</v>
      </c>
      <c r="AO92" s="101">
        <f>SUM(AO90:AO91)</f>
        <v>0</v>
      </c>
      <c r="AP92" s="49"/>
      <c r="AQ92" s="4"/>
      <c r="AR92" s="97"/>
      <c r="AS92" s="97"/>
      <c r="AT92" s="97"/>
      <c r="AU92" s="97"/>
      <c r="AV92" s="71">
        <f>AR92+AS92+AT92+AU92</f>
        <v>0</v>
      </c>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row>
    <row r="93" spans="1:90" ht="31.5" x14ac:dyDescent="0.25">
      <c r="A93" s="80">
        <v>2.11</v>
      </c>
      <c r="B93" s="81" t="s">
        <v>202</v>
      </c>
      <c r="C93" s="121"/>
      <c r="D93" s="131"/>
      <c r="E93" s="131"/>
      <c r="F93" s="131"/>
      <c r="G93" s="131"/>
      <c r="H93" s="131"/>
      <c r="I93" s="131"/>
      <c r="J93" s="131"/>
      <c r="K93" s="131"/>
      <c r="L93" s="131"/>
      <c r="M93" s="131"/>
      <c r="N93" s="132"/>
      <c r="O93" s="131"/>
      <c r="P93" s="131"/>
      <c r="Q93" s="131"/>
      <c r="R93" s="131"/>
      <c r="S93" s="131"/>
      <c r="T93" s="132"/>
      <c r="U93" s="131"/>
      <c r="V93" s="131"/>
      <c r="W93" s="131"/>
      <c r="X93" s="131"/>
      <c r="Y93" s="131"/>
      <c r="Z93" s="132"/>
      <c r="AA93" s="131"/>
      <c r="AB93" s="131"/>
      <c r="AC93" s="131"/>
      <c r="AD93" s="131"/>
      <c r="AE93" s="131"/>
      <c r="AF93" s="131"/>
      <c r="AG93" s="131"/>
      <c r="AH93" s="131"/>
      <c r="AI93" s="131"/>
      <c r="AJ93" s="131"/>
      <c r="AK93" s="131"/>
      <c r="AL93" s="131"/>
      <c r="AM93" s="131"/>
      <c r="AN93" s="131"/>
      <c r="AO93" s="133"/>
      <c r="AP93" s="49"/>
      <c r="AQ93" s="4"/>
      <c r="AR93" s="65"/>
      <c r="AS93" s="65"/>
      <c r="AT93" s="65"/>
      <c r="AU93" s="65"/>
      <c r="AV93" s="65"/>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row>
    <row r="94" spans="1:90" ht="63.75" customHeight="1" x14ac:dyDescent="0.25">
      <c r="A94" s="124" t="s">
        <v>203</v>
      </c>
      <c r="B94" s="51" t="s">
        <v>204</v>
      </c>
      <c r="C94" s="91" t="s">
        <v>78</v>
      </c>
      <c r="D94" s="125">
        <v>52440</v>
      </c>
      <c r="E94" s="125">
        <v>0</v>
      </c>
      <c r="F94" s="56">
        <f>D94*E94</f>
        <v>0</v>
      </c>
      <c r="G94" s="125">
        <v>0</v>
      </c>
      <c r="H94" s="56">
        <v>0</v>
      </c>
      <c r="I94" s="56"/>
      <c r="J94" s="56"/>
      <c r="K94" s="56">
        <f>I94*J94</f>
        <v>0</v>
      </c>
      <c r="L94" s="56"/>
      <c r="M94" s="57">
        <f>K94+L94</f>
        <v>0</v>
      </c>
      <c r="N94" s="67"/>
      <c r="O94" s="56"/>
      <c r="P94" s="56"/>
      <c r="Q94" s="56"/>
      <c r="R94" s="56"/>
      <c r="S94" s="58">
        <f>O94+P94+Q94+R94</f>
        <v>0</v>
      </c>
      <c r="T94" s="67"/>
      <c r="U94" s="125">
        <v>52440</v>
      </c>
      <c r="V94" s="125">
        <v>1</v>
      </c>
      <c r="W94" s="64">
        <f>U94*V94</f>
        <v>52440</v>
      </c>
      <c r="X94" s="125">
        <v>109250</v>
      </c>
      <c r="Y94" s="56">
        <f>W94+X94</f>
        <v>161690</v>
      </c>
      <c r="Z94" s="67"/>
      <c r="AA94" s="125"/>
      <c r="AB94" s="125"/>
      <c r="AC94" s="64"/>
      <c r="AD94" s="125"/>
      <c r="AE94" s="56"/>
      <c r="AF94" s="125">
        <v>52440</v>
      </c>
      <c r="AG94" s="125">
        <v>0</v>
      </c>
      <c r="AH94" s="64">
        <f>AF94*AG94</f>
        <v>0</v>
      </c>
      <c r="AI94" s="125"/>
      <c r="AJ94" s="56">
        <f>AH94+AI94</f>
        <v>0</v>
      </c>
      <c r="AK94" s="64">
        <f t="shared" ref="AK94:AM95" si="23">E94+V94+AG94</f>
        <v>1</v>
      </c>
      <c r="AL94" s="64">
        <f t="shared" si="23"/>
        <v>52440</v>
      </c>
      <c r="AM94" s="64">
        <f t="shared" si="23"/>
        <v>109250</v>
      </c>
      <c r="AN94" s="57">
        <f>AL94+AM94</f>
        <v>161690</v>
      </c>
      <c r="AO94" s="126"/>
      <c r="AP94" s="596" t="s">
        <v>205</v>
      </c>
      <c r="AQ94" s="4"/>
      <c r="AR94" s="49"/>
      <c r="AS94" s="49"/>
      <c r="AT94" s="49"/>
      <c r="AU94" s="49"/>
      <c r="AV94" s="71">
        <f>AR94+AS94+AT94+AU94</f>
        <v>0</v>
      </c>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row>
    <row r="95" spans="1:90" ht="25.5" x14ac:dyDescent="0.25">
      <c r="A95" s="124" t="s">
        <v>206</v>
      </c>
      <c r="B95" s="51" t="s">
        <v>207</v>
      </c>
      <c r="C95" s="91" t="s">
        <v>201</v>
      </c>
      <c r="D95" s="125">
        <v>3000</v>
      </c>
      <c r="E95" s="125">
        <v>0</v>
      </c>
      <c r="F95" s="56">
        <f>D95*E95</f>
        <v>0</v>
      </c>
      <c r="G95" s="125"/>
      <c r="H95" s="56">
        <f>F95+G95</f>
        <v>0</v>
      </c>
      <c r="I95" s="56"/>
      <c r="J95" s="56"/>
      <c r="K95" s="56">
        <f>I95*J95</f>
        <v>0</v>
      </c>
      <c r="L95" s="56"/>
      <c r="M95" s="57">
        <f>K95+L95</f>
        <v>0</v>
      </c>
      <c r="N95" s="67"/>
      <c r="O95" s="56"/>
      <c r="P95" s="56"/>
      <c r="Q95" s="56"/>
      <c r="R95" s="56"/>
      <c r="S95" s="58">
        <f>O95+P95+Q95+R95</f>
        <v>0</v>
      </c>
      <c r="T95" s="67"/>
      <c r="U95" s="125">
        <v>3000</v>
      </c>
      <c r="V95" s="125">
        <v>1</v>
      </c>
      <c r="W95" s="64">
        <f>U95*V95</f>
        <v>3000</v>
      </c>
      <c r="X95" s="125"/>
      <c r="Y95" s="56">
        <f>W95+X95</f>
        <v>3000</v>
      </c>
      <c r="Z95" s="67"/>
      <c r="AA95" s="125"/>
      <c r="AB95" s="125"/>
      <c r="AC95" s="64"/>
      <c r="AD95" s="125"/>
      <c r="AE95" s="56"/>
      <c r="AF95" s="125">
        <v>3000</v>
      </c>
      <c r="AG95" s="125">
        <v>0</v>
      </c>
      <c r="AH95" s="64">
        <f>AF95*AG95</f>
        <v>0</v>
      </c>
      <c r="AI95" s="125"/>
      <c r="AJ95" s="56">
        <f>AH95+AI95</f>
        <v>0</v>
      </c>
      <c r="AK95" s="64">
        <f t="shared" si="23"/>
        <v>1</v>
      </c>
      <c r="AL95" s="64">
        <f t="shared" si="23"/>
        <v>3000</v>
      </c>
      <c r="AM95" s="64">
        <f t="shared" si="23"/>
        <v>0</v>
      </c>
      <c r="AN95" s="57">
        <f>AL95+AM95</f>
        <v>3000</v>
      </c>
      <c r="AO95" s="126"/>
      <c r="AP95" s="596"/>
      <c r="AQ95" s="4"/>
      <c r="AR95" s="49"/>
      <c r="AS95" s="49"/>
      <c r="AT95" s="49"/>
      <c r="AU95" s="49"/>
      <c r="AV95" s="71">
        <f>AR95+AS95+AT95+AU95</f>
        <v>0</v>
      </c>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row>
    <row r="96" spans="1:90" ht="15.75" x14ac:dyDescent="0.25">
      <c r="A96" s="94"/>
      <c r="B96" s="95" t="s">
        <v>208</v>
      </c>
      <c r="C96" s="96"/>
      <c r="D96" s="97">
        <f>SUM(D94:D95)</f>
        <v>55440</v>
      </c>
      <c r="E96" s="98">
        <f>SUM(E94:E95)</f>
        <v>0</v>
      </c>
      <c r="F96" s="97">
        <f>SUM(F94:F95)</f>
        <v>0</v>
      </c>
      <c r="G96" s="97">
        <f>SUM(G94:G95)</f>
        <v>0</v>
      </c>
      <c r="H96" s="97">
        <f>SUM(H94:H95)</f>
        <v>0</v>
      </c>
      <c r="I96" s="99">
        <v>0</v>
      </c>
      <c r="J96" s="97"/>
      <c r="K96" s="97">
        <f>SUM(K94:K95)</f>
        <v>0</v>
      </c>
      <c r="L96" s="97">
        <f>SUM(L94:L95)</f>
        <v>0</v>
      </c>
      <c r="M96" s="97">
        <f>SUM(M94:M95)</f>
        <v>0</v>
      </c>
      <c r="N96" s="100"/>
      <c r="O96" s="97">
        <f>SUM(O94:O95)</f>
        <v>0</v>
      </c>
      <c r="P96" s="97">
        <f>SUM(P94:P95)</f>
        <v>0</v>
      </c>
      <c r="Q96" s="97">
        <f>SUM(Q94:Q95)</f>
        <v>0</v>
      </c>
      <c r="R96" s="97">
        <f>SUM(R94:R95)</f>
        <v>0</v>
      </c>
      <c r="S96" s="58">
        <f>O96+P96+Q96+R96</f>
        <v>0</v>
      </c>
      <c r="T96" s="100"/>
      <c r="U96" s="97">
        <f>SUM(U94:U95)</f>
        <v>55440</v>
      </c>
      <c r="V96" s="98">
        <v>1</v>
      </c>
      <c r="W96" s="97">
        <f>SUM(W94:W95)</f>
        <v>55440</v>
      </c>
      <c r="X96" s="97">
        <f>SUM(X94:X95)</f>
        <v>109250</v>
      </c>
      <c r="Y96" s="97">
        <f>SUM(Y94:Y95)</f>
        <v>164690</v>
      </c>
      <c r="Z96" s="100"/>
      <c r="AA96" s="97">
        <f>SUM(AA94:AA95)</f>
        <v>0</v>
      </c>
      <c r="AB96" s="97"/>
      <c r="AC96" s="97">
        <f t="shared" ref="AC96:AJ96" si="24">SUM(AC94:AC95)</f>
        <v>0</v>
      </c>
      <c r="AD96" s="97">
        <f t="shared" si="24"/>
        <v>0</v>
      </c>
      <c r="AE96" s="97">
        <f t="shared" si="24"/>
        <v>0</v>
      </c>
      <c r="AF96" s="97">
        <f t="shared" si="24"/>
        <v>55440</v>
      </c>
      <c r="AG96" s="98">
        <f t="shared" si="24"/>
        <v>0</v>
      </c>
      <c r="AH96" s="97">
        <f t="shared" si="24"/>
        <v>0</v>
      </c>
      <c r="AI96" s="97">
        <f t="shared" si="24"/>
        <v>0</v>
      </c>
      <c r="AJ96" s="97">
        <f t="shared" si="24"/>
        <v>0</v>
      </c>
      <c r="AK96" s="78">
        <f>AG96+V96+E96</f>
        <v>1</v>
      </c>
      <c r="AL96" s="97">
        <f>SUM(AL94:AL95)</f>
        <v>55440</v>
      </c>
      <c r="AM96" s="97">
        <f>SUM(AM94:AM95)</f>
        <v>109250</v>
      </c>
      <c r="AN96" s="97">
        <f>SUM(AN94:AN95)</f>
        <v>164690</v>
      </c>
      <c r="AO96" s="101">
        <f>SUM(AO94:AO95)</f>
        <v>0</v>
      </c>
      <c r="AP96" s="49"/>
      <c r="AQ96" s="4"/>
      <c r="AR96" s="97">
        <f>SUM(AR94:AR95)</f>
        <v>0</v>
      </c>
      <c r="AS96" s="97">
        <f>SUM(AS94:AS95)</f>
        <v>0</v>
      </c>
      <c r="AT96" s="97">
        <f>SUM(AT94:AT95)</f>
        <v>0</v>
      </c>
      <c r="AU96" s="97">
        <f>SUM(AU94:AU95)</f>
        <v>0</v>
      </c>
      <c r="AV96" s="71">
        <f>AR96+AS96+AT96+AU96</f>
        <v>0</v>
      </c>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row>
    <row r="97" spans="1:90" ht="31.5" x14ac:dyDescent="0.25">
      <c r="A97" s="80">
        <v>2.12</v>
      </c>
      <c r="B97" s="151" t="s">
        <v>209</v>
      </c>
      <c r="C97" s="121"/>
      <c r="D97" s="122"/>
      <c r="E97" s="122"/>
      <c r="F97" s="122"/>
      <c r="G97" s="122"/>
      <c r="H97" s="122"/>
      <c r="I97" s="122"/>
      <c r="J97" s="122"/>
      <c r="K97" s="122"/>
      <c r="L97" s="122"/>
      <c r="M97" s="122"/>
      <c r="N97" s="100"/>
      <c r="O97" s="122"/>
      <c r="P97" s="122"/>
      <c r="Q97" s="122"/>
      <c r="R97" s="122"/>
      <c r="S97" s="122"/>
      <c r="T97" s="100"/>
      <c r="U97" s="122"/>
      <c r="V97" s="122"/>
      <c r="W97" s="122"/>
      <c r="X97" s="122"/>
      <c r="Y97" s="122"/>
      <c r="Z97" s="100"/>
      <c r="AA97" s="122"/>
      <c r="AB97" s="122"/>
      <c r="AC97" s="122"/>
      <c r="AD97" s="122"/>
      <c r="AE97" s="122"/>
      <c r="AF97" s="122"/>
      <c r="AG97" s="122"/>
      <c r="AH97" s="122"/>
      <c r="AI97" s="122"/>
      <c r="AJ97" s="122"/>
      <c r="AK97" s="122"/>
      <c r="AL97" s="122"/>
      <c r="AM97" s="122"/>
      <c r="AN97" s="122"/>
      <c r="AO97" s="123"/>
      <c r="AP97" s="49"/>
      <c r="AQ97" s="4"/>
      <c r="AR97" s="65"/>
      <c r="AS97" s="65"/>
      <c r="AT97" s="65"/>
      <c r="AU97" s="65"/>
      <c r="AV97" s="65"/>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row>
    <row r="98" spans="1:90" ht="38.25" hidden="1" x14ac:dyDescent="0.25">
      <c r="A98" s="152" t="s">
        <v>210</v>
      </c>
      <c r="B98" s="51" t="s">
        <v>211</v>
      </c>
      <c r="C98" s="140" t="s">
        <v>78</v>
      </c>
      <c r="D98" s="100">
        <v>70000</v>
      </c>
      <c r="E98" s="100">
        <v>1</v>
      </c>
      <c r="F98" s="100">
        <f>D98*E98</f>
        <v>70000</v>
      </c>
      <c r="G98" s="100"/>
      <c r="H98" s="100">
        <f>F98+G98</f>
        <v>70000</v>
      </c>
      <c r="I98" s="100"/>
      <c r="J98" s="100"/>
      <c r="K98" s="56"/>
      <c r="L98" s="100"/>
      <c r="M98" s="57">
        <f>K98+L98</f>
        <v>0</v>
      </c>
      <c r="N98" s="100"/>
      <c r="O98" s="100"/>
      <c r="P98" s="100"/>
      <c r="Q98" s="100"/>
      <c r="R98" s="100"/>
      <c r="S98" s="58">
        <f>O98+P98+Q98+R98</f>
        <v>0</v>
      </c>
      <c r="T98" s="100"/>
      <c r="U98" s="100">
        <v>70000</v>
      </c>
      <c r="V98" s="100">
        <v>0</v>
      </c>
      <c r="W98" s="100">
        <f>U98*V98</f>
        <v>0</v>
      </c>
      <c r="X98" s="100"/>
      <c r="Y98" s="100">
        <f>W98+X98</f>
        <v>0</v>
      </c>
      <c r="Z98" s="100"/>
      <c r="AA98" s="100"/>
      <c r="AB98" s="100"/>
      <c r="AC98" s="100"/>
      <c r="AD98" s="100"/>
      <c r="AE98" s="100"/>
      <c r="AF98" s="100">
        <v>70000</v>
      </c>
      <c r="AG98" s="100">
        <v>0</v>
      </c>
      <c r="AH98" s="100">
        <f>AF98*AG98</f>
        <v>0</v>
      </c>
      <c r="AI98" s="100"/>
      <c r="AJ98" s="100">
        <f>AH98+AI98</f>
        <v>0</v>
      </c>
      <c r="AK98" s="100">
        <f>E98+V98+AG98</f>
        <v>1</v>
      </c>
      <c r="AL98" s="100">
        <f>F98+W98+AH98</f>
        <v>70000</v>
      </c>
      <c r="AM98" s="100">
        <f>G98+X98+AI98</f>
        <v>0</v>
      </c>
      <c r="AN98" s="100">
        <f>AL98+AM98</f>
        <v>70000</v>
      </c>
      <c r="AO98" s="141"/>
      <c r="AP98" s="49"/>
      <c r="AQ98" s="4"/>
      <c r="AR98" s="49"/>
      <c r="AS98" s="49"/>
      <c r="AT98" s="49"/>
      <c r="AU98" s="49"/>
      <c r="AV98" s="71">
        <f>AR98+AS98+AT98+AU98</f>
        <v>0</v>
      </c>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row>
    <row r="99" spans="1:90" ht="15.75" x14ac:dyDescent="0.25">
      <c r="A99" s="94"/>
      <c r="B99" s="95" t="s">
        <v>212</v>
      </c>
      <c r="C99" s="96"/>
      <c r="D99" s="97">
        <f>SUM(D98)</f>
        <v>70000</v>
      </c>
      <c r="E99" s="98">
        <f>SUM(E98)</f>
        <v>1</v>
      </c>
      <c r="F99" s="97">
        <f>SUM(F98)</f>
        <v>70000</v>
      </c>
      <c r="G99" s="97">
        <f>SUM(G98)</f>
        <v>0</v>
      </c>
      <c r="H99" s="97">
        <f>SUM(H98)</f>
        <v>70000</v>
      </c>
      <c r="I99" s="99">
        <v>0</v>
      </c>
      <c r="J99" s="97"/>
      <c r="K99" s="97">
        <f>SUM(K98)</f>
        <v>0</v>
      </c>
      <c r="L99" s="97">
        <f>SUM(L98)</f>
        <v>0</v>
      </c>
      <c r="M99" s="97">
        <f>SUM(M98)</f>
        <v>0</v>
      </c>
      <c r="N99" s="100"/>
      <c r="O99" s="97">
        <f>SUM(O98)</f>
        <v>0</v>
      </c>
      <c r="P99" s="97">
        <f>SUM(P98)</f>
        <v>0</v>
      </c>
      <c r="Q99" s="97">
        <f>SUM(Q98)</f>
        <v>0</v>
      </c>
      <c r="R99" s="97">
        <f>SUM(R98)</f>
        <v>0</v>
      </c>
      <c r="S99" s="58">
        <f>O99+P99+Q99+R99</f>
        <v>0</v>
      </c>
      <c r="T99" s="100"/>
      <c r="U99" s="97">
        <f>SUM(U98)</f>
        <v>70000</v>
      </c>
      <c r="V99" s="98">
        <f>SUM(V98)</f>
        <v>0</v>
      </c>
      <c r="W99" s="97">
        <f>SUM(W98)</f>
        <v>0</v>
      </c>
      <c r="X99" s="97">
        <f>SUM(X98)</f>
        <v>0</v>
      </c>
      <c r="Y99" s="97">
        <f>SUM(Y98)</f>
        <v>0</v>
      </c>
      <c r="Z99" s="100"/>
      <c r="AA99" s="97">
        <f t="shared" ref="AA99:AJ99" si="25">SUM(AA98)</f>
        <v>0</v>
      </c>
      <c r="AB99" s="97">
        <f t="shared" si="25"/>
        <v>0</v>
      </c>
      <c r="AC99" s="97">
        <f t="shared" si="25"/>
        <v>0</v>
      </c>
      <c r="AD99" s="97">
        <f t="shared" si="25"/>
        <v>0</v>
      </c>
      <c r="AE99" s="97">
        <f t="shared" si="25"/>
        <v>0</v>
      </c>
      <c r="AF99" s="97">
        <f t="shared" si="25"/>
        <v>70000</v>
      </c>
      <c r="AG99" s="98">
        <f t="shared" si="25"/>
        <v>0</v>
      </c>
      <c r="AH99" s="97">
        <f t="shared" si="25"/>
        <v>0</v>
      </c>
      <c r="AI99" s="97">
        <f t="shared" si="25"/>
        <v>0</v>
      </c>
      <c r="AJ99" s="97">
        <f t="shared" si="25"/>
        <v>0</v>
      </c>
      <c r="AK99" s="78">
        <f>AG99+V99+E99</f>
        <v>1</v>
      </c>
      <c r="AL99" s="97">
        <f>SUM(AL98)</f>
        <v>70000</v>
      </c>
      <c r="AM99" s="97">
        <f>SUM(AM98)</f>
        <v>0</v>
      </c>
      <c r="AN99" s="97">
        <f>SUM(AN98)</f>
        <v>70000</v>
      </c>
      <c r="AO99" s="101">
        <f>SUM(AO98)</f>
        <v>0</v>
      </c>
      <c r="AP99" s="49"/>
      <c r="AQ99" s="4"/>
      <c r="AR99" s="97">
        <f>SUM(AR98)</f>
        <v>0</v>
      </c>
      <c r="AS99" s="97">
        <f>SUM(AS98)</f>
        <v>0</v>
      </c>
      <c r="AT99" s="97">
        <f>SUM(AT98)</f>
        <v>0</v>
      </c>
      <c r="AU99" s="97">
        <f>SUM(AU98)</f>
        <v>0</v>
      </c>
      <c r="AV99" s="71">
        <f>AR99+AS99+AT99+AU99</f>
        <v>0</v>
      </c>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row>
    <row r="100" spans="1:90" ht="15.75" x14ac:dyDescent="0.25">
      <c r="A100" s="111"/>
      <c r="B100" s="112" t="s">
        <v>213</v>
      </c>
      <c r="C100" s="113"/>
      <c r="D100" s="114">
        <f>SUM(D40+D46+D52+D58+D64+D68+D72+D76+D84+D88+D92+D96+D99)</f>
        <v>881160</v>
      </c>
      <c r="E100" s="114"/>
      <c r="F100" s="114">
        <f>SUM(F40+F46+F52+F58+F64+F68+F72+F76+F84+F88+F92+F96+F99)</f>
        <v>944920</v>
      </c>
      <c r="G100" s="114">
        <f>SUM(G40+G46+G52+G58+G64+G68+G72+G76+G84+G88+G92+G96+G99)</f>
        <v>326250</v>
      </c>
      <c r="H100" s="114">
        <f>SUM(H40+H46+H52+H58+H64+H68+H72+H76+H84+H88+H92+H96+H99)</f>
        <v>1271170</v>
      </c>
      <c r="I100" s="114"/>
      <c r="J100" s="114"/>
      <c r="K100" s="114">
        <f>SUM(K40+K46+K52+K58+K64+K68+K72+K76+K84+K88+K92+K96+K99)</f>
        <v>771980</v>
      </c>
      <c r="L100" s="114">
        <f>SUM(L40+L46+L52+L58+L64+L68+L72+L76+L84+L88+L92+L96+L99)</f>
        <v>190000</v>
      </c>
      <c r="M100" s="114">
        <f>SUM(M40+M46+M52+M58+M64+M68+M72+M76+M84+M88+M92+M96+M99)</f>
        <v>961980</v>
      </c>
      <c r="N100" s="100"/>
      <c r="O100" s="114">
        <f>SUM(O40+O46+O52+O58+O64+O68+O72+O76+O84+O88+O92+O96+O99)</f>
        <v>14170</v>
      </c>
      <c r="P100" s="114">
        <f>SUM(P40+P46+P52+P58+P64+P68+P72+P76+P84+P88+P92+P96+P99)</f>
        <v>40280</v>
      </c>
      <c r="Q100" s="114">
        <f>SUM(Q40+Q46+Q52+Q58+Q64+Q68+Q72+Q76+Q84+Q88+Q92+Q96+Q99)</f>
        <v>557140</v>
      </c>
      <c r="R100" s="114">
        <f>SUM(R40+R46+R52+R58+R64+R68+R72+R76+R84+R88+R92+R96+R99)</f>
        <v>160390</v>
      </c>
      <c r="S100" s="58">
        <f>O100+P100+Q100+R100</f>
        <v>771980</v>
      </c>
      <c r="T100" s="100"/>
      <c r="U100" s="114">
        <f>SUM(U40+U46+U52+U58+U64+U68+U72+U76+U84+U88+U92+U96+U99)</f>
        <v>947310</v>
      </c>
      <c r="V100" s="114"/>
      <c r="W100" s="114">
        <f>SUM(W40+W46+W52+W58+W64+W68+W72+W76+W84+W88+W92+W96+W99)</f>
        <v>473060</v>
      </c>
      <c r="X100" s="114">
        <f>SUM(X40+X46+X52+X58+X64+X68+X72+X76+X84+X88+X92+X96+X99)</f>
        <v>136250</v>
      </c>
      <c r="Y100" s="114">
        <f>SUM(Y40+Y46+Y52+Y58+Y64+Y68+Y72+Y76+Y84+Y88+Y92+Y96+Y99)</f>
        <v>609310</v>
      </c>
      <c r="Z100" s="100"/>
      <c r="AA100" s="114">
        <f>SUM(AA40+AA46+AA52+AA58+AA64+AA68+AA72+AA76+AA84+AA88+AA92+AA96+AA99)</f>
        <v>0</v>
      </c>
      <c r="AB100" s="114"/>
      <c r="AC100" s="114">
        <f>SUM(AC40+AC46+AC52+AC58+AC64+AC68+AC72+AC76+AC84+AC88+AC92+AC96+AC99)</f>
        <v>343400</v>
      </c>
      <c r="AD100" s="114">
        <f>SUM(AD40+AD46+AD52+AD58+AD64+AD68+AD72+AD76+AD84+AD88+AD92+AD96+AD99)</f>
        <v>6000</v>
      </c>
      <c r="AE100" s="114">
        <f>SUM(AE40+AE46+AE52+AE58+AE64+AE68+AE72+AE76+AE84+AE88+AE92+AE96+AE99)</f>
        <v>349400</v>
      </c>
      <c r="AF100" s="114">
        <f>SUM(AF40+AF46+AF52+AF58+AF64+AF68+AF72+AF76+AF84+AF88+AF92+AF96+AF99)</f>
        <v>878910</v>
      </c>
      <c r="AG100" s="114"/>
      <c r="AH100" s="114">
        <f t="shared" ref="AH100:AO100" si="26">SUM(AH40+AH46+AH52+AH58+AH64+AH68+AH72+AH76+AH84+AH88+AH92+AH96+AH99)</f>
        <v>270840</v>
      </c>
      <c r="AI100" s="114">
        <f t="shared" si="26"/>
        <v>21000</v>
      </c>
      <c r="AJ100" s="114">
        <f t="shared" si="26"/>
        <v>291840</v>
      </c>
      <c r="AK100" s="114">
        <f t="shared" si="26"/>
        <v>57</v>
      </c>
      <c r="AL100" s="114">
        <f t="shared" si="26"/>
        <v>1688820</v>
      </c>
      <c r="AM100" s="114">
        <f t="shared" si="26"/>
        <v>483500</v>
      </c>
      <c r="AN100" s="114">
        <f t="shared" si="26"/>
        <v>2172320</v>
      </c>
      <c r="AO100" s="115">
        <f t="shared" si="26"/>
        <v>0</v>
      </c>
      <c r="AP100" s="49"/>
      <c r="AQ100" s="115">
        <f>SUM(AQ40+AQ46+AQ52+AQ58+AQ64+AQ68+AQ72+AQ76+AQ84+AQ88+AQ92+AQ96+AQ99)</f>
        <v>0</v>
      </c>
      <c r="AR100" s="114">
        <f>SUM(AR40+AR46+AR52+AR58+AR64+AR68+AR72+AR76+AR84+AR88+AR92+AR96+AR99)</f>
        <v>42060</v>
      </c>
      <c r="AS100" s="114">
        <f>SUM(AS40+AS46+AS52+AS58+AS64+AS68+AS72+AS76+AS84+AS88+AS92+AS96+AS99)</f>
        <v>127580</v>
      </c>
      <c r="AT100" s="114">
        <f>SUM(AT40+AT46+AT52+AT58+AT64+AT68+AT72+AT76+AT84+AT88+AT92+AT96+AT99)</f>
        <v>35760</v>
      </c>
      <c r="AU100" s="114">
        <f>SUM(AU40+AU46+AU52+AU58+AU64+AU68+AU72+AU76+AU84+AU88+AU92+AU96+AU99)</f>
        <v>138000</v>
      </c>
      <c r="AV100" s="71">
        <f>AR100+AS100+AT100+AU100</f>
        <v>343400</v>
      </c>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row>
    <row r="101" spans="1:90" ht="15.75" x14ac:dyDescent="0.25">
      <c r="A101" s="116"/>
      <c r="B101" s="117" t="s">
        <v>214</v>
      </c>
      <c r="C101" s="118"/>
      <c r="D101" s="119"/>
      <c r="E101" s="119"/>
      <c r="F101" s="119"/>
      <c r="G101" s="119"/>
      <c r="H101" s="119"/>
      <c r="I101" s="119"/>
      <c r="J101" s="119"/>
      <c r="K101" s="119"/>
      <c r="L101" s="119"/>
      <c r="M101" s="119"/>
      <c r="N101" s="100"/>
      <c r="O101" s="119"/>
      <c r="P101" s="119"/>
      <c r="Q101" s="119"/>
      <c r="R101" s="119"/>
      <c r="S101" s="119"/>
      <c r="T101" s="100"/>
      <c r="U101" s="119"/>
      <c r="V101" s="119"/>
      <c r="W101" s="119"/>
      <c r="X101" s="119"/>
      <c r="Y101" s="119"/>
      <c r="Z101" s="100"/>
      <c r="AA101" s="119"/>
      <c r="AB101" s="119"/>
      <c r="AC101" s="119"/>
      <c r="AD101" s="119"/>
      <c r="AE101" s="119"/>
      <c r="AF101" s="119"/>
      <c r="AG101" s="119"/>
      <c r="AH101" s="119"/>
      <c r="AI101" s="119"/>
      <c r="AJ101" s="119"/>
      <c r="AK101" s="119"/>
      <c r="AL101" s="119"/>
      <c r="AM101" s="119"/>
      <c r="AN101" s="119"/>
      <c r="AO101" s="120"/>
      <c r="AP101" s="49"/>
      <c r="AQ101" s="4"/>
      <c r="AR101" s="119"/>
      <c r="AS101" s="119"/>
      <c r="AT101" s="119"/>
      <c r="AU101" s="119"/>
      <c r="AV101" s="119"/>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row>
    <row r="102" spans="1:90" ht="63" x14ac:dyDescent="0.25">
      <c r="A102" s="80">
        <v>3.1</v>
      </c>
      <c r="B102" s="81" t="s">
        <v>215</v>
      </c>
      <c r="C102" s="153"/>
      <c r="D102" s="154"/>
      <c r="E102" s="154"/>
      <c r="F102" s="154"/>
      <c r="G102" s="154"/>
      <c r="H102" s="154"/>
      <c r="I102" s="154"/>
      <c r="J102" s="154"/>
      <c r="K102" s="154"/>
      <c r="L102" s="154"/>
      <c r="M102" s="154"/>
      <c r="N102" s="155"/>
      <c r="O102" s="154"/>
      <c r="P102" s="154"/>
      <c r="Q102" s="154"/>
      <c r="R102" s="154"/>
      <c r="S102" s="154"/>
      <c r="T102" s="155"/>
      <c r="U102" s="154"/>
      <c r="V102" s="154"/>
      <c r="W102" s="154"/>
      <c r="X102" s="154"/>
      <c r="Y102" s="154"/>
      <c r="Z102" s="155"/>
      <c r="AA102" s="154"/>
      <c r="AB102" s="154"/>
      <c r="AC102" s="154"/>
      <c r="AD102" s="154"/>
      <c r="AE102" s="154"/>
      <c r="AF102" s="154"/>
      <c r="AG102" s="154"/>
      <c r="AH102" s="154"/>
      <c r="AI102" s="154"/>
      <c r="AJ102" s="154"/>
      <c r="AK102" s="154"/>
      <c r="AL102" s="154"/>
      <c r="AM102" s="154"/>
      <c r="AN102" s="154"/>
      <c r="AO102" s="156"/>
      <c r="AP102" s="49"/>
      <c r="AQ102" s="4"/>
      <c r="AR102" s="65"/>
      <c r="AS102" s="65"/>
      <c r="AT102" s="65"/>
      <c r="AU102" s="65"/>
      <c r="AV102" s="65"/>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row>
    <row r="103" spans="1:90" ht="25.5" x14ac:dyDescent="0.25">
      <c r="A103" s="157" t="s">
        <v>216</v>
      </c>
      <c r="B103" s="51" t="s">
        <v>217</v>
      </c>
      <c r="C103" s="91" t="s">
        <v>62</v>
      </c>
      <c r="D103" s="71">
        <v>2500</v>
      </c>
      <c r="E103" s="71">
        <v>3</v>
      </c>
      <c r="F103" s="56">
        <f>D103*E103</f>
        <v>7500</v>
      </c>
      <c r="G103" s="71"/>
      <c r="H103" s="56">
        <f>F103+G103</f>
        <v>7500</v>
      </c>
      <c r="I103" s="56">
        <v>3</v>
      </c>
      <c r="J103" s="56">
        <v>2500</v>
      </c>
      <c r="K103" s="56">
        <f>I103*J103</f>
        <v>7500</v>
      </c>
      <c r="L103" s="56"/>
      <c r="M103" s="57">
        <f>K103+L103</f>
        <v>7500</v>
      </c>
      <c r="N103" s="67"/>
      <c r="O103" s="56"/>
      <c r="P103" s="56"/>
      <c r="Q103" s="56">
        <f>K103</f>
        <v>7500</v>
      </c>
      <c r="R103" s="56"/>
      <c r="S103" s="58">
        <f>O103+P103+Q103+R103</f>
        <v>7500</v>
      </c>
      <c r="T103" s="67"/>
      <c r="U103" s="71">
        <v>2500</v>
      </c>
      <c r="V103" s="71">
        <v>2</v>
      </c>
      <c r="W103" s="64">
        <f>U103*V103</f>
        <v>5000</v>
      </c>
      <c r="X103" s="71"/>
      <c r="Y103" s="56">
        <f>W103+X103</f>
        <v>5000</v>
      </c>
      <c r="Z103" s="67"/>
      <c r="AA103" s="71">
        <v>2500</v>
      </c>
      <c r="AB103" s="71">
        <v>2</v>
      </c>
      <c r="AC103" s="64">
        <f>AA103*AB103</f>
        <v>5000</v>
      </c>
      <c r="AD103" s="71"/>
      <c r="AE103" s="56">
        <f>AC103+AD103</f>
        <v>5000</v>
      </c>
      <c r="AF103" s="71">
        <v>2500</v>
      </c>
      <c r="AG103" s="71">
        <v>3</v>
      </c>
      <c r="AH103" s="64">
        <f>AF103*AG103</f>
        <v>7500</v>
      </c>
      <c r="AI103" s="71"/>
      <c r="AJ103" s="56">
        <f>AH103+AI103</f>
        <v>7500</v>
      </c>
      <c r="AK103" s="64">
        <f t="shared" ref="AK103:AM106" si="27">E103+V103+AG103</f>
        <v>8</v>
      </c>
      <c r="AL103" s="64">
        <f t="shared" si="27"/>
        <v>20000</v>
      </c>
      <c r="AM103" s="64">
        <f t="shared" si="27"/>
        <v>0</v>
      </c>
      <c r="AN103" s="57">
        <f>AL103+AM103</f>
        <v>20000</v>
      </c>
      <c r="AO103" s="158"/>
      <c r="AP103" s="49"/>
      <c r="AQ103" s="4"/>
      <c r="AR103" s="49">
        <v>2500</v>
      </c>
      <c r="AS103" s="49"/>
      <c r="AT103" s="49"/>
      <c r="AU103" s="49">
        <v>2500</v>
      </c>
      <c r="AV103" s="71">
        <f>AR103+AS103+AT103+AU103</f>
        <v>5000</v>
      </c>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row>
    <row r="104" spans="1:90" x14ac:dyDescent="0.25">
      <c r="A104" s="157" t="s">
        <v>218</v>
      </c>
      <c r="B104" s="51" t="s">
        <v>219</v>
      </c>
      <c r="C104" s="91" t="s">
        <v>70</v>
      </c>
      <c r="D104" s="125">
        <v>3360</v>
      </c>
      <c r="E104" s="71">
        <v>3</v>
      </c>
      <c r="F104" s="56">
        <f>D104*E104</f>
        <v>10080</v>
      </c>
      <c r="G104" s="159"/>
      <c r="H104" s="56">
        <f>F104+G104</f>
        <v>10080</v>
      </c>
      <c r="I104" s="56">
        <f>3*42</f>
        <v>126</v>
      </c>
      <c r="J104" s="56">
        <v>120</v>
      </c>
      <c r="K104" s="56">
        <f>I104*J104</f>
        <v>15120</v>
      </c>
      <c r="L104" s="56"/>
      <c r="M104" s="57">
        <f>K104+L104</f>
        <v>15120</v>
      </c>
      <c r="N104" s="67"/>
      <c r="O104" s="56"/>
      <c r="P104" s="56"/>
      <c r="Q104" s="56">
        <f>K104</f>
        <v>15120</v>
      </c>
      <c r="R104" s="56"/>
      <c r="S104" s="58">
        <f>O104+P104+Q104+R104</f>
        <v>15120</v>
      </c>
      <c r="T104" s="67"/>
      <c r="U104" s="71">
        <v>3500</v>
      </c>
      <c r="V104" s="71">
        <v>2</v>
      </c>
      <c r="W104" s="64">
        <f>U104*V104</f>
        <v>7000</v>
      </c>
      <c r="X104" s="159"/>
      <c r="Y104" s="56">
        <f>W104+X104</f>
        <v>7000</v>
      </c>
      <c r="Z104" s="67"/>
      <c r="AA104" s="71">
        <v>3500</v>
      </c>
      <c r="AB104" s="71">
        <v>2</v>
      </c>
      <c r="AC104" s="64">
        <f>AA104*AB104</f>
        <v>7000</v>
      </c>
      <c r="AD104" s="159"/>
      <c r="AE104" s="56">
        <f>AC104+AD104</f>
        <v>7000</v>
      </c>
      <c r="AF104" s="71">
        <v>3500</v>
      </c>
      <c r="AG104" s="71">
        <v>3</v>
      </c>
      <c r="AH104" s="64">
        <f>AF104*AG104</f>
        <v>10500</v>
      </c>
      <c r="AI104" s="159"/>
      <c r="AJ104" s="56">
        <f>AH104+AI104</f>
        <v>10500</v>
      </c>
      <c r="AK104" s="64">
        <f t="shared" si="27"/>
        <v>8</v>
      </c>
      <c r="AL104" s="64">
        <f t="shared" si="27"/>
        <v>27580</v>
      </c>
      <c r="AM104" s="64">
        <f t="shared" si="27"/>
        <v>0</v>
      </c>
      <c r="AN104" s="57">
        <f>AL104+AM104</f>
        <v>27580</v>
      </c>
      <c r="AO104" s="60"/>
      <c r="AP104" s="49"/>
      <c r="AQ104" s="4"/>
      <c r="AR104" s="49">
        <v>3500</v>
      </c>
      <c r="AS104" s="49"/>
      <c r="AT104" s="49"/>
      <c r="AU104" s="49">
        <v>3500</v>
      </c>
      <c r="AV104" s="71">
        <f>AR104+AS104+AT104+AU104</f>
        <v>7000</v>
      </c>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row>
    <row r="105" spans="1:90" s="3" customFormat="1" ht="25.5" x14ac:dyDescent="0.25">
      <c r="A105" s="157" t="s">
        <v>220</v>
      </c>
      <c r="B105" s="51" t="s">
        <v>221</v>
      </c>
      <c r="C105" s="91" t="s">
        <v>74</v>
      </c>
      <c r="D105" s="125">
        <v>3500</v>
      </c>
      <c r="E105" s="125">
        <v>3</v>
      </c>
      <c r="F105" s="56">
        <f>D105*E105</f>
        <v>10500</v>
      </c>
      <c r="G105" s="125"/>
      <c r="H105" s="56">
        <f>F105+G105</f>
        <v>10500</v>
      </c>
      <c r="I105" s="56">
        <v>3</v>
      </c>
      <c r="J105" s="56">
        <v>2500</v>
      </c>
      <c r="K105" s="56">
        <f>I105*J105</f>
        <v>7500</v>
      </c>
      <c r="L105" s="56"/>
      <c r="M105" s="57">
        <f>K105+L105</f>
        <v>7500</v>
      </c>
      <c r="N105" s="67"/>
      <c r="O105" s="56"/>
      <c r="P105" s="56"/>
      <c r="Q105" s="56">
        <f>K105</f>
        <v>7500</v>
      </c>
      <c r="R105" s="56"/>
      <c r="S105" s="58">
        <f>O105+P105+Q105+R105</f>
        <v>7500</v>
      </c>
      <c r="T105" s="67"/>
      <c r="U105" s="160">
        <v>3500</v>
      </c>
      <c r="V105" s="125">
        <v>2</v>
      </c>
      <c r="W105" s="64">
        <f>U105*V105</f>
        <v>7000</v>
      </c>
      <c r="X105" s="125"/>
      <c r="Y105" s="56">
        <f>W105+X105</f>
        <v>7000</v>
      </c>
      <c r="Z105" s="67"/>
      <c r="AA105" s="160">
        <v>2500</v>
      </c>
      <c r="AB105" s="100">
        <v>6</v>
      </c>
      <c r="AC105" s="64">
        <f>AA105*AB105</f>
        <v>15000</v>
      </c>
      <c r="AD105" s="125"/>
      <c r="AE105" s="56">
        <f>AC105+AD105</f>
        <v>15000</v>
      </c>
      <c r="AF105" s="160">
        <v>3500</v>
      </c>
      <c r="AG105" s="125">
        <v>3</v>
      </c>
      <c r="AH105" s="64">
        <f>AF105*AG105</f>
        <v>10500</v>
      </c>
      <c r="AI105" s="125"/>
      <c r="AJ105" s="56">
        <f>AH105+AI105</f>
        <v>10500</v>
      </c>
      <c r="AK105" s="64">
        <f t="shared" si="27"/>
        <v>8</v>
      </c>
      <c r="AL105" s="64">
        <f t="shared" si="27"/>
        <v>28000</v>
      </c>
      <c r="AM105" s="64">
        <f t="shared" si="27"/>
        <v>0</v>
      </c>
      <c r="AN105" s="57">
        <f>AL105+AM105</f>
        <v>28000</v>
      </c>
      <c r="AO105" s="60"/>
      <c r="AP105" s="47" t="s">
        <v>222</v>
      </c>
      <c r="AQ105" s="105">
        <f>2500*3*2</f>
        <v>15000</v>
      </c>
      <c r="AR105" s="104">
        <v>7500</v>
      </c>
      <c r="AS105" s="104"/>
      <c r="AT105" s="104"/>
      <c r="AU105" s="104">
        <v>7500</v>
      </c>
      <c r="AV105" s="71">
        <f>AR105+AS105+AT105+AU105</f>
        <v>15000</v>
      </c>
      <c r="AW105" s="105"/>
      <c r="AX105" s="105"/>
      <c r="AY105" s="105"/>
      <c r="AZ105" s="105"/>
      <c r="BA105" s="105"/>
      <c r="BB105" s="105"/>
      <c r="BC105" s="105"/>
      <c r="BD105" s="105"/>
      <c r="BE105" s="105"/>
      <c r="BF105" s="105"/>
      <c r="BG105" s="105"/>
      <c r="BH105" s="105"/>
      <c r="BI105" s="105"/>
      <c r="BJ105" s="105"/>
      <c r="BK105" s="105"/>
      <c r="BL105" s="105"/>
      <c r="BM105" s="105"/>
      <c r="BN105" s="105"/>
      <c r="BO105" s="105"/>
      <c r="BP105" s="105"/>
      <c r="BQ105" s="105"/>
      <c r="BR105" s="105"/>
      <c r="BS105" s="105"/>
      <c r="BT105" s="105"/>
      <c r="BU105" s="105"/>
      <c r="BV105" s="105"/>
      <c r="BW105" s="105"/>
      <c r="BX105" s="105"/>
      <c r="BY105" s="105"/>
      <c r="BZ105" s="105"/>
      <c r="CA105" s="105"/>
      <c r="CB105" s="105"/>
      <c r="CC105" s="105"/>
      <c r="CD105" s="105"/>
      <c r="CE105" s="105"/>
      <c r="CF105" s="105"/>
      <c r="CG105" s="105"/>
      <c r="CH105" s="105"/>
      <c r="CI105" s="105"/>
      <c r="CJ105" s="105"/>
      <c r="CK105" s="105"/>
      <c r="CL105" s="105"/>
    </row>
    <row r="106" spans="1:90" x14ac:dyDescent="0.25">
      <c r="A106" s="157" t="s">
        <v>223</v>
      </c>
      <c r="B106" s="51" t="s">
        <v>224</v>
      </c>
      <c r="C106" s="91" t="s">
        <v>78</v>
      </c>
      <c r="D106" s="125">
        <v>1000</v>
      </c>
      <c r="E106" s="125">
        <v>3</v>
      </c>
      <c r="F106" s="56">
        <f>D106*E106</f>
        <v>3000</v>
      </c>
      <c r="G106" s="56"/>
      <c r="H106" s="56">
        <f>F106+G106</f>
        <v>3000</v>
      </c>
      <c r="I106" s="56">
        <f>35*3</f>
        <v>105</v>
      </c>
      <c r="J106" s="56">
        <v>50</v>
      </c>
      <c r="K106" s="56">
        <f>I106*J106</f>
        <v>5250</v>
      </c>
      <c r="L106" s="56"/>
      <c r="M106" s="57">
        <f>K106+L106</f>
        <v>5250</v>
      </c>
      <c r="N106" s="67"/>
      <c r="O106" s="56"/>
      <c r="P106" s="56"/>
      <c r="Q106" s="56">
        <f>K106</f>
        <v>5250</v>
      </c>
      <c r="R106" s="56"/>
      <c r="S106" s="58">
        <f>O106+P106+Q106+R106</f>
        <v>5250</v>
      </c>
      <c r="T106" s="67"/>
      <c r="U106" s="56">
        <v>1000</v>
      </c>
      <c r="V106" s="56">
        <v>2</v>
      </c>
      <c r="W106" s="64">
        <f>U106*V106</f>
        <v>2000</v>
      </c>
      <c r="X106" s="56"/>
      <c r="Y106" s="56">
        <f>W106+X106</f>
        <v>2000</v>
      </c>
      <c r="Z106" s="67"/>
      <c r="AA106" s="56">
        <v>1000</v>
      </c>
      <c r="AB106" s="56">
        <v>2</v>
      </c>
      <c r="AC106" s="64">
        <f>AA106*AB106</f>
        <v>2000</v>
      </c>
      <c r="AD106" s="56"/>
      <c r="AE106" s="56">
        <f>AC106+AD106</f>
        <v>2000</v>
      </c>
      <c r="AF106" s="56">
        <v>1000</v>
      </c>
      <c r="AG106" s="56">
        <v>3</v>
      </c>
      <c r="AH106" s="64">
        <f>AF106*AG106</f>
        <v>3000</v>
      </c>
      <c r="AI106" s="56"/>
      <c r="AJ106" s="56">
        <f>AH106+AI106</f>
        <v>3000</v>
      </c>
      <c r="AK106" s="64">
        <f t="shared" si="27"/>
        <v>8</v>
      </c>
      <c r="AL106" s="64">
        <f t="shared" si="27"/>
        <v>8000</v>
      </c>
      <c r="AM106" s="64">
        <f t="shared" si="27"/>
        <v>0</v>
      </c>
      <c r="AN106" s="57">
        <f>AL106+AM106</f>
        <v>8000</v>
      </c>
      <c r="AO106" s="126"/>
      <c r="AP106" s="49"/>
      <c r="AQ106" s="4"/>
      <c r="AR106" s="49">
        <v>1000</v>
      </c>
      <c r="AS106" s="49"/>
      <c r="AT106" s="49"/>
      <c r="AU106" s="49">
        <v>1000</v>
      </c>
      <c r="AV106" s="71">
        <f>AR106+AS106+AT106+AU106</f>
        <v>2000</v>
      </c>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row>
    <row r="107" spans="1:90" ht="15.75" x14ac:dyDescent="0.25">
      <c r="A107" s="161"/>
      <c r="B107" s="95" t="s">
        <v>225</v>
      </c>
      <c r="C107" s="86"/>
      <c r="D107" s="75">
        <f>SUM(D103:D106)</f>
        <v>10360</v>
      </c>
      <c r="E107" s="78">
        <v>3</v>
      </c>
      <c r="F107" s="75">
        <f>SUM(F103:F106)</f>
        <v>31080</v>
      </c>
      <c r="G107" s="75">
        <f>SUM(G103:G106)</f>
        <v>0</v>
      </c>
      <c r="H107" s="75">
        <f>SUM(H103:H106)</f>
        <v>31080</v>
      </c>
      <c r="I107" s="76">
        <v>3</v>
      </c>
      <c r="J107" s="75"/>
      <c r="K107" s="75">
        <f>SUM(K103:K106)</f>
        <v>35370</v>
      </c>
      <c r="L107" s="75">
        <f>SUM(L103:L106)</f>
        <v>0</v>
      </c>
      <c r="M107" s="75">
        <f>SUM(M103:M106)</f>
        <v>35370</v>
      </c>
      <c r="N107" s="77"/>
      <c r="O107" s="75">
        <f>SUM(O103:O106)</f>
        <v>0</v>
      </c>
      <c r="P107" s="75">
        <f>SUM(P103:P106)</f>
        <v>0</v>
      </c>
      <c r="Q107" s="75">
        <f>SUM(Q103:Q106)</f>
        <v>35370</v>
      </c>
      <c r="R107" s="75">
        <f>SUM(R103:R106)</f>
        <v>0</v>
      </c>
      <c r="S107" s="58">
        <f>O107+P107+Q107+R107</f>
        <v>35370</v>
      </c>
      <c r="T107" s="77"/>
      <c r="U107" s="75">
        <f>SUM(U103:U106)</f>
        <v>10500</v>
      </c>
      <c r="V107" s="78">
        <v>2</v>
      </c>
      <c r="W107" s="75">
        <f>SUM(W103:W106)</f>
        <v>21000</v>
      </c>
      <c r="X107" s="75">
        <f>SUM(X103:X106)</f>
        <v>0</v>
      </c>
      <c r="Y107" s="75">
        <f>SUM(Y103:Y106)</f>
        <v>21000</v>
      </c>
      <c r="Z107" s="77"/>
      <c r="AA107" s="75"/>
      <c r="AB107" s="78">
        <v>2</v>
      </c>
      <c r="AC107" s="75">
        <f>SUM(AC103:AC106)</f>
        <v>29000</v>
      </c>
      <c r="AD107" s="75">
        <f>SUM(AD103:AD106)</f>
        <v>0</v>
      </c>
      <c r="AE107" s="75">
        <f>SUM(AE103:AE106)</f>
        <v>29000</v>
      </c>
      <c r="AF107" s="75">
        <f>SUM(AF103:AF106)</f>
        <v>10500</v>
      </c>
      <c r="AG107" s="78">
        <v>3</v>
      </c>
      <c r="AH107" s="75">
        <f>SUM(AH103:AH106)</f>
        <v>31500</v>
      </c>
      <c r="AI107" s="75">
        <f>SUM(AI103:AI106)</f>
        <v>0</v>
      </c>
      <c r="AJ107" s="75">
        <f>SUM(AJ103:AJ106)</f>
        <v>31500</v>
      </c>
      <c r="AK107" s="78">
        <f>AG107+V107+E107</f>
        <v>8</v>
      </c>
      <c r="AL107" s="75">
        <f>SUM(AL103:AL106)</f>
        <v>83580</v>
      </c>
      <c r="AM107" s="75">
        <f>SUM(AM103:AM106)</f>
        <v>0</v>
      </c>
      <c r="AN107" s="75">
        <f>SUM(AN103:AN106)</f>
        <v>83580</v>
      </c>
      <c r="AO107" s="79">
        <f>SUM(AO103:AO106)</f>
        <v>0</v>
      </c>
      <c r="AP107" s="49"/>
      <c r="AQ107" s="79"/>
      <c r="AR107" s="75">
        <f>SUM(AR103:AR106)</f>
        <v>14500</v>
      </c>
      <c r="AS107" s="75">
        <f>SUM(AS103:AS106)</f>
        <v>0</v>
      </c>
      <c r="AT107" s="75">
        <f>SUM(AT103:AT106)</f>
        <v>0</v>
      </c>
      <c r="AU107" s="75">
        <f>SUM(AU103:AU106)</f>
        <v>14500</v>
      </c>
      <c r="AV107" s="71">
        <f>AR107+AS107+AT107+AU107</f>
        <v>29000</v>
      </c>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row>
    <row r="108" spans="1:90" s="3" customFormat="1" ht="15.75" x14ac:dyDescent="0.25">
      <c r="A108" s="80">
        <v>3.2</v>
      </c>
      <c r="B108" s="162" t="s">
        <v>226</v>
      </c>
      <c r="C108" s="163"/>
      <c r="D108" s="65"/>
      <c r="E108" s="65"/>
      <c r="F108" s="65"/>
      <c r="G108" s="65"/>
      <c r="H108" s="65"/>
      <c r="I108" s="65"/>
      <c r="J108" s="65"/>
      <c r="K108" s="65"/>
      <c r="L108" s="65"/>
      <c r="M108" s="65"/>
      <c r="N108" s="77"/>
      <c r="O108" s="65"/>
      <c r="P108" s="65"/>
      <c r="Q108" s="65"/>
      <c r="R108" s="65"/>
      <c r="S108" s="65"/>
      <c r="T108" s="77"/>
      <c r="U108" s="65"/>
      <c r="V108" s="65"/>
      <c r="W108" s="65"/>
      <c r="X108" s="65"/>
      <c r="Y108" s="65"/>
      <c r="Z108" s="77"/>
      <c r="AA108" s="65"/>
      <c r="AB108" s="65"/>
      <c r="AC108" s="65"/>
      <c r="AD108" s="65"/>
      <c r="AE108" s="65"/>
      <c r="AF108" s="65"/>
      <c r="AG108" s="65"/>
      <c r="AH108" s="65"/>
      <c r="AI108" s="65"/>
      <c r="AJ108" s="65"/>
      <c r="AK108" s="65"/>
      <c r="AL108" s="65"/>
      <c r="AM108" s="65"/>
      <c r="AN108" s="65"/>
      <c r="AO108" s="83"/>
      <c r="AP108" s="104"/>
      <c r="AQ108" s="105"/>
      <c r="AR108" s="65"/>
      <c r="AS108" s="65"/>
      <c r="AT108" s="65"/>
      <c r="AU108" s="65"/>
      <c r="AV108" s="65"/>
      <c r="AW108" s="105"/>
      <c r="AX108" s="105"/>
      <c r="AY108" s="105"/>
      <c r="AZ108" s="105"/>
      <c r="BA108" s="105"/>
      <c r="BB108" s="105"/>
      <c r="BC108" s="105"/>
      <c r="BD108" s="105"/>
      <c r="BE108" s="105"/>
      <c r="BF108" s="105"/>
      <c r="BG108" s="105"/>
      <c r="BH108" s="105"/>
      <c r="BI108" s="105"/>
      <c r="BJ108" s="105"/>
      <c r="BK108" s="105"/>
      <c r="BL108" s="105"/>
      <c r="BM108" s="105"/>
      <c r="BN108" s="105"/>
      <c r="BO108" s="105"/>
      <c r="BP108" s="105"/>
      <c r="BQ108" s="105"/>
      <c r="BR108" s="105"/>
      <c r="BS108" s="105"/>
      <c r="BT108" s="105"/>
      <c r="BU108" s="105"/>
      <c r="BV108" s="105"/>
      <c r="BW108" s="105"/>
      <c r="BX108" s="105"/>
      <c r="BY108" s="105"/>
      <c r="BZ108" s="105"/>
      <c r="CA108" s="105"/>
      <c r="CB108" s="105"/>
      <c r="CC108" s="105"/>
      <c r="CD108" s="105"/>
      <c r="CE108" s="105"/>
      <c r="CF108" s="105"/>
      <c r="CG108" s="105"/>
      <c r="CH108" s="105"/>
      <c r="CI108" s="105"/>
      <c r="CJ108" s="105"/>
      <c r="CK108" s="105"/>
      <c r="CL108" s="105"/>
    </row>
    <row r="109" spans="1:90" s="3" customFormat="1" ht="25.5" x14ac:dyDescent="0.25">
      <c r="A109" s="90" t="s">
        <v>227</v>
      </c>
      <c r="B109" s="51" t="s">
        <v>228</v>
      </c>
      <c r="C109" s="91" t="s">
        <v>62</v>
      </c>
      <c r="D109" s="77">
        <v>6000</v>
      </c>
      <c r="E109" s="77">
        <v>2</v>
      </c>
      <c r="F109" s="56">
        <f>D109*E109</f>
        <v>12000</v>
      </c>
      <c r="G109" s="77"/>
      <c r="H109" s="56">
        <f>F109+G109</f>
        <v>12000</v>
      </c>
      <c r="I109" s="56">
        <v>15</v>
      </c>
      <c r="J109" s="56">
        <f>(400*2)</f>
        <v>800</v>
      </c>
      <c r="K109" s="56">
        <f>I109*J109</f>
        <v>12000</v>
      </c>
      <c r="L109" s="56"/>
      <c r="M109" s="57">
        <f>K109+L109</f>
        <v>12000</v>
      </c>
      <c r="N109" s="67"/>
      <c r="O109" s="56"/>
      <c r="P109" s="56"/>
      <c r="Q109" s="56">
        <f>K109</f>
        <v>12000</v>
      </c>
      <c r="R109" s="56"/>
      <c r="S109" s="58">
        <f>O109+P109+Q109+R109</f>
        <v>12000</v>
      </c>
      <c r="T109" s="67"/>
      <c r="U109" s="77">
        <v>6000</v>
      </c>
      <c r="V109" s="77">
        <v>4</v>
      </c>
      <c r="W109" s="64">
        <f>U109*V109</f>
        <v>24000</v>
      </c>
      <c r="X109" s="77"/>
      <c r="Y109" s="56">
        <f>W109+X109</f>
        <v>24000</v>
      </c>
      <c r="Z109" s="67"/>
      <c r="AA109" s="77">
        <v>6000</v>
      </c>
      <c r="AB109" s="77">
        <v>4</v>
      </c>
      <c r="AC109" s="64">
        <f>AA109*AB109</f>
        <v>24000</v>
      </c>
      <c r="AD109" s="77"/>
      <c r="AE109" s="56">
        <f>AC109+AD109</f>
        <v>24000</v>
      </c>
      <c r="AF109" s="77">
        <v>6000</v>
      </c>
      <c r="AG109" s="77">
        <v>5</v>
      </c>
      <c r="AH109" s="64">
        <f>AF109*AG109</f>
        <v>30000</v>
      </c>
      <c r="AI109" s="77"/>
      <c r="AJ109" s="56">
        <f>AH109+AI109</f>
        <v>30000</v>
      </c>
      <c r="AK109" s="64">
        <f t="shared" ref="AK109:AM110" si="28">E109+V109+AG109</f>
        <v>11</v>
      </c>
      <c r="AL109" s="64">
        <f t="shared" si="28"/>
        <v>66000</v>
      </c>
      <c r="AM109" s="64">
        <f t="shared" si="28"/>
        <v>0</v>
      </c>
      <c r="AN109" s="57">
        <f>AL109+AM109</f>
        <v>66000</v>
      </c>
      <c r="AO109" s="93"/>
      <c r="AP109" s="104"/>
      <c r="AQ109" s="105"/>
      <c r="AR109" s="104">
        <v>6000</v>
      </c>
      <c r="AS109" s="104">
        <v>6000</v>
      </c>
      <c r="AT109" s="104">
        <v>6000</v>
      </c>
      <c r="AU109" s="104">
        <v>6000</v>
      </c>
      <c r="AV109" s="71">
        <f>AR109+AS109+AT109+AU109</f>
        <v>24000</v>
      </c>
      <c r="AW109" s="105"/>
      <c r="AX109" s="105"/>
      <c r="AY109" s="105"/>
      <c r="AZ109" s="105"/>
      <c r="BA109" s="105"/>
      <c r="BB109" s="105"/>
      <c r="BC109" s="105"/>
      <c r="BD109" s="105"/>
      <c r="BE109" s="105"/>
      <c r="BF109" s="105"/>
      <c r="BG109" s="105"/>
      <c r="BH109" s="105"/>
      <c r="BI109" s="105"/>
      <c r="BJ109" s="105"/>
      <c r="BK109" s="105"/>
      <c r="BL109" s="105"/>
      <c r="BM109" s="105"/>
      <c r="BN109" s="105"/>
      <c r="BO109" s="105"/>
      <c r="BP109" s="105"/>
      <c r="BQ109" s="105"/>
      <c r="BR109" s="105"/>
      <c r="BS109" s="105"/>
      <c r="BT109" s="105"/>
      <c r="BU109" s="105"/>
      <c r="BV109" s="105"/>
      <c r="BW109" s="105"/>
      <c r="BX109" s="105"/>
      <c r="BY109" s="105"/>
      <c r="BZ109" s="105"/>
      <c r="CA109" s="105"/>
      <c r="CB109" s="105"/>
      <c r="CC109" s="105"/>
      <c r="CD109" s="105"/>
      <c r="CE109" s="105"/>
      <c r="CF109" s="105"/>
      <c r="CG109" s="105"/>
      <c r="CH109" s="105"/>
      <c r="CI109" s="105"/>
      <c r="CJ109" s="105"/>
      <c r="CK109" s="105"/>
      <c r="CL109" s="105"/>
    </row>
    <row r="110" spans="1:90" s="3" customFormat="1" x14ac:dyDescent="0.25">
      <c r="A110" s="90" t="s">
        <v>229</v>
      </c>
      <c r="B110" s="51" t="s">
        <v>230</v>
      </c>
      <c r="C110" s="91" t="s">
        <v>78</v>
      </c>
      <c r="D110" s="77">
        <v>2000</v>
      </c>
      <c r="E110" s="77">
        <v>1</v>
      </c>
      <c r="F110" s="56">
        <f>D110*E110</f>
        <v>2000</v>
      </c>
      <c r="G110" s="77"/>
      <c r="H110" s="56">
        <f>F110+G110</f>
        <v>2000</v>
      </c>
      <c r="I110" s="56">
        <v>1</v>
      </c>
      <c r="J110" s="56">
        <v>2000</v>
      </c>
      <c r="K110" s="56">
        <f>I110*J110</f>
        <v>2000</v>
      </c>
      <c r="L110" s="56"/>
      <c r="M110" s="57">
        <f>K110+L110</f>
        <v>2000</v>
      </c>
      <c r="N110" s="67"/>
      <c r="O110" s="56"/>
      <c r="P110" s="56"/>
      <c r="Q110" s="56">
        <f>K110</f>
        <v>2000</v>
      </c>
      <c r="R110" s="56"/>
      <c r="S110" s="58">
        <f>O110+P110+Q110+R110</f>
        <v>2000</v>
      </c>
      <c r="T110" s="67"/>
      <c r="U110" s="77">
        <v>2000</v>
      </c>
      <c r="V110" s="77">
        <v>2</v>
      </c>
      <c r="W110" s="64">
        <f>U110*V110</f>
        <v>4000</v>
      </c>
      <c r="X110" s="77"/>
      <c r="Y110" s="56">
        <f>W110+X110</f>
        <v>4000</v>
      </c>
      <c r="Z110" s="67"/>
      <c r="AA110" s="77">
        <v>2000</v>
      </c>
      <c r="AB110" s="77">
        <v>2</v>
      </c>
      <c r="AC110" s="64">
        <f>AA110*AB110</f>
        <v>4000</v>
      </c>
      <c r="AD110" s="77"/>
      <c r="AE110" s="56">
        <f>AC110+AD110</f>
        <v>4000</v>
      </c>
      <c r="AF110" s="77">
        <v>2000</v>
      </c>
      <c r="AG110" s="77">
        <v>4</v>
      </c>
      <c r="AH110" s="64">
        <f>AF110*AG110</f>
        <v>8000</v>
      </c>
      <c r="AI110" s="77"/>
      <c r="AJ110" s="56">
        <f>AH110+AI110</f>
        <v>8000</v>
      </c>
      <c r="AK110" s="64">
        <f t="shared" si="28"/>
        <v>7</v>
      </c>
      <c r="AL110" s="64">
        <f t="shared" si="28"/>
        <v>14000</v>
      </c>
      <c r="AM110" s="64">
        <f t="shared" si="28"/>
        <v>0</v>
      </c>
      <c r="AN110" s="57">
        <f>AL110+AM110</f>
        <v>14000</v>
      </c>
      <c r="AO110" s="93"/>
      <c r="AP110" s="104"/>
      <c r="AQ110" s="105"/>
      <c r="AR110" s="104">
        <v>2000</v>
      </c>
      <c r="AS110" s="104"/>
      <c r="AT110" s="104">
        <v>2000</v>
      </c>
      <c r="AU110" s="104"/>
      <c r="AV110" s="71">
        <f>AR110+AS110+AT110+AU110</f>
        <v>4000</v>
      </c>
      <c r="AW110" s="105"/>
      <c r="AX110" s="105"/>
      <c r="AY110" s="105"/>
      <c r="AZ110" s="105"/>
      <c r="BA110" s="105"/>
      <c r="BB110" s="105"/>
      <c r="BC110" s="105"/>
      <c r="BD110" s="105"/>
      <c r="BE110" s="105"/>
      <c r="BF110" s="105"/>
      <c r="BG110" s="105"/>
      <c r="BH110" s="105"/>
      <c r="BI110" s="105"/>
      <c r="BJ110" s="105"/>
      <c r="BK110" s="105"/>
      <c r="BL110" s="105"/>
      <c r="BM110" s="105"/>
      <c r="BN110" s="105"/>
      <c r="BO110" s="105"/>
      <c r="BP110" s="105"/>
      <c r="BQ110" s="105"/>
      <c r="BR110" s="105"/>
      <c r="BS110" s="105"/>
      <c r="BT110" s="105"/>
      <c r="BU110" s="105"/>
      <c r="BV110" s="105"/>
      <c r="BW110" s="105"/>
      <c r="BX110" s="105"/>
      <c r="BY110" s="105"/>
      <c r="BZ110" s="105"/>
      <c r="CA110" s="105"/>
      <c r="CB110" s="105"/>
      <c r="CC110" s="105"/>
      <c r="CD110" s="105"/>
      <c r="CE110" s="105"/>
      <c r="CF110" s="105"/>
      <c r="CG110" s="105"/>
      <c r="CH110" s="105"/>
      <c r="CI110" s="105"/>
      <c r="CJ110" s="105"/>
      <c r="CK110" s="105"/>
      <c r="CL110" s="105"/>
    </row>
    <row r="111" spans="1:90" ht="15.75" x14ac:dyDescent="0.25">
      <c r="A111" s="164"/>
      <c r="B111" s="95" t="s">
        <v>231</v>
      </c>
      <c r="C111" s="86"/>
      <c r="D111" s="165">
        <f>SUM(D109:D110)</f>
        <v>8000</v>
      </c>
      <c r="E111" s="166">
        <v>2</v>
      </c>
      <c r="F111" s="165">
        <f>SUM(F109:F110)</f>
        <v>14000</v>
      </c>
      <c r="G111" s="165">
        <f>SUM(G109:G110)</f>
        <v>0</v>
      </c>
      <c r="H111" s="165">
        <f>SUM(H109:H110)</f>
        <v>14000</v>
      </c>
      <c r="I111" s="167">
        <v>2</v>
      </c>
      <c r="J111" s="165"/>
      <c r="K111" s="165">
        <f>SUM(K109:K110)</f>
        <v>14000</v>
      </c>
      <c r="L111" s="165">
        <f>SUM(L109:L110)</f>
        <v>0</v>
      </c>
      <c r="M111" s="165">
        <f>SUM(M109:M110)</f>
        <v>14000</v>
      </c>
      <c r="N111" s="168"/>
      <c r="O111" s="165">
        <f>SUM(O109:O110)</f>
        <v>0</v>
      </c>
      <c r="P111" s="165">
        <f>SUM(P109:P110)</f>
        <v>0</v>
      </c>
      <c r="Q111" s="165">
        <f>SUM(Q109:Q110)</f>
        <v>14000</v>
      </c>
      <c r="R111" s="165">
        <f>SUM(R109:R110)</f>
        <v>0</v>
      </c>
      <c r="S111" s="58">
        <f>O111+P111+Q111+R111</f>
        <v>14000</v>
      </c>
      <c r="T111" s="168"/>
      <c r="U111" s="165">
        <f>SUM(U109:U110)</f>
        <v>8000</v>
      </c>
      <c r="V111" s="166">
        <v>4</v>
      </c>
      <c r="W111" s="165">
        <f>SUM(W109:W110)</f>
        <v>28000</v>
      </c>
      <c r="X111" s="165">
        <f>SUM(X109:X110)</f>
        <v>0</v>
      </c>
      <c r="Y111" s="165">
        <f>SUM(Y109:Y110)</f>
        <v>28000</v>
      </c>
      <c r="Z111" s="168"/>
      <c r="AA111" s="165"/>
      <c r="AB111" s="166">
        <v>4</v>
      </c>
      <c r="AC111" s="165">
        <f>SUM(AC109:AC110)</f>
        <v>28000</v>
      </c>
      <c r="AD111" s="165">
        <f>SUM(AD109:AD110)</f>
        <v>0</v>
      </c>
      <c r="AE111" s="165">
        <f>SUM(AE109:AE110)</f>
        <v>28000</v>
      </c>
      <c r="AF111" s="165">
        <f>SUM(AF109:AF110)</f>
        <v>8000</v>
      </c>
      <c r="AG111" s="166">
        <v>5</v>
      </c>
      <c r="AH111" s="165">
        <f>SUM(AH109:AH110)</f>
        <v>38000</v>
      </c>
      <c r="AI111" s="165">
        <f>SUM(AI109:AI110)</f>
        <v>0</v>
      </c>
      <c r="AJ111" s="165">
        <f>SUM(AJ109:AJ110)</f>
        <v>38000</v>
      </c>
      <c r="AK111" s="78">
        <f>AG111+V111+E111</f>
        <v>11</v>
      </c>
      <c r="AL111" s="165">
        <f>SUM(AL109:AL110)</f>
        <v>80000</v>
      </c>
      <c r="AM111" s="165">
        <f>SUM(AM109:AM110)</f>
        <v>0</v>
      </c>
      <c r="AN111" s="165">
        <f>SUM(AN109:AN110)</f>
        <v>80000</v>
      </c>
      <c r="AO111" s="169">
        <f>SUM(AO109:AO110)</f>
        <v>0</v>
      </c>
      <c r="AP111" s="49"/>
      <c r="AQ111" s="169"/>
      <c r="AR111" s="165">
        <f>SUM(AR109:AR110)</f>
        <v>8000</v>
      </c>
      <c r="AS111" s="165">
        <f>SUM(AS109:AS110)</f>
        <v>6000</v>
      </c>
      <c r="AT111" s="165">
        <f>SUM(AT109:AT110)</f>
        <v>8000</v>
      </c>
      <c r="AU111" s="165">
        <f>SUM(AU109:AU110)</f>
        <v>6000</v>
      </c>
      <c r="AV111" s="71">
        <f>AR111+AS111+AT111+AU111</f>
        <v>28000</v>
      </c>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row>
    <row r="112" spans="1:90" s="3" customFormat="1" ht="47.25" x14ac:dyDescent="0.25">
      <c r="A112" s="80">
        <v>3.3</v>
      </c>
      <c r="B112" s="162" t="s">
        <v>232</v>
      </c>
      <c r="C112" s="163"/>
      <c r="D112" s="65"/>
      <c r="E112" s="65"/>
      <c r="F112" s="65"/>
      <c r="G112" s="65"/>
      <c r="H112" s="65"/>
      <c r="I112" s="65"/>
      <c r="J112" s="65"/>
      <c r="K112" s="65"/>
      <c r="L112" s="65"/>
      <c r="M112" s="65"/>
      <c r="N112" s="77"/>
      <c r="O112" s="65"/>
      <c r="P112" s="65"/>
      <c r="Q112" s="65"/>
      <c r="R112" s="65"/>
      <c r="S112" s="65"/>
      <c r="T112" s="77"/>
      <c r="U112" s="65"/>
      <c r="V112" s="65"/>
      <c r="W112" s="65"/>
      <c r="X112" s="65"/>
      <c r="Y112" s="65"/>
      <c r="Z112" s="77"/>
      <c r="AA112" s="65"/>
      <c r="AB112" s="65"/>
      <c r="AC112" s="65"/>
      <c r="AD112" s="65"/>
      <c r="AE112" s="65"/>
      <c r="AF112" s="65"/>
      <c r="AG112" s="65"/>
      <c r="AH112" s="65"/>
      <c r="AI112" s="65"/>
      <c r="AJ112" s="65"/>
      <c r="AK112" s="65"/>
      <c r="AL112" s="65"/>
      <c r="AM112" s="65"/>
      <c r="AN112" s="65"/>
      <c r="AO112" s="83"/>
      <c r="AP112" s="104"/>
      <c r="AQ112" s="105"/>
      <c r="AR112" s="65"/>
      <c r="AS112" s="65"/>
      <c r="AT112" s="65"/>
      <c r="AU112" s="65"/>
      <c r="AV112" s="6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c r="BT112" s="105"/>
      <c r="BU112" s="105"/>
      <c r="BV112" s="105"/>
      <c r="BW112" s="105"/>
      <c r="BX112" s="105"/>
      <c r="BY112" s="105"/>
      <c r="BZ112" s="105"/>
      <c r="CA112" s="105"/>
      <c r="CB112" s="105"/>
      <c r="CC112" s="105"/>
      <c r="CD112" s="105"/>
      <c r="CE112" s="105"/>
      <c r="CF112" s="105"/>
      <c r="CG112" s="105"/>
      <c r="CH112" s="105"/>
      <c r="CI112" s="105"/>
      <c r="CJ112" s="105"/>
      <c r="CK112" s="105"/>
      <c r="CL112" s="105"/>
    </row>
    <row r="113" spans="1:90" s="3" customFormat="1" ht="25.5" x14ac:dyDescent="0.25">
      <c r="A113" s="90" t="s">
        <v>233</v>
      </c>
      <c r="B113" s="51" t="s">
        <v>234</v>
      </c>
      <c r="C113" s="91" t="s">
        <v>62</v>
      </c>
      <c r="D113" s="77">
        <v>2000</v>
      </c>
      <c r="E113" s="77">
        <v>1</v>
      </c>
      <c r="F113" s="56">
        <f>D113*E113</f>
        <v>2000</v>
      </c>
      <c r="G113" s="77"/>
      <c r="H113" s="56">
        <f>F113+G113</f>
        <v>2000</v>
      </c>
      <c r="I113" s="56">
        <v>1</v>
      </c>
      <c r="J113" s="56">
        <v>2000</v>
      </c>
      <c r="K113" s="56">
        <f>I113*J113</f>
        <v>2000</v>
      </c>
      <c r="L113" s="56"/>
      <c r="M113" s="57">
        <f>K113+L113</f>
        <v>2000</v>
      </c>
      <c r="N113" s="67"/>
      <c r="O113" s="56"/>
      <c r="P113" s="56">
        <f>K113</f>
        <v>2000</v>
      </c>
      <c r="Q113" s="56"/>
      <c r="R113" s="56"/>
      <c r="S113" s="58">
        <f t="shared" ref="S113:S118" si="29">O113+P113+Q113+R113</f>
        <v>2000</v>
      </c>
      <c r="T113" s="67"/>
      <c r="U113" s="77">
        <v>2000</v>
      </c>
      <c r="V113" s="77">
        <v>2</v>
      </c>
      <c r="W113" s="64">
        <f>U113*V113</f>
        <v>4000</v>
      </c>
      <c r="X113" s="77"/>
      <c r="Y113" s="56">
        <f>W113+X113</f>
        <v>4000</v>
      </c>
      <c r="Z113" s="67"/>
      <c r="AA113" s="77">
        <v>2000</v>
      </c>
      <c r="AB113" s="77">
        <v>2</v>
      </c>
      <c r="AC113" s="64">
        <f>AA113*AB113</f>
        <v>4000</v>
      </c>
      <c r="AD113" s="77"/>
      <c r="AE113" s="56">
        <f>AC113+AD113</f>
        <v>4000</v>
      </c>
      <c r="AF113" s="77">
        <v>2000</v>
      </c>
      <c r="AG113" s="77">
        <v>2</v>
      </c>
      <c r="AH113" s="64">
        <f>AF113*AG113</f>
        <v>4000</v>
      </c>
      <c r="AI113" s="77"/>
      <c r="AJ113" s="56">
        <f>AH113+AI113</f>
        <v>4000</v>
      </c>
      <c r="AK113" s="64">
        <f t="shared" ref="AK113:AM116" si="30">E113+V113+AG113</f>
        <v>5</v>
      </c>
      <c r="AL113" s="64">
        <f t="shared" si="30"/>
        <v>10000</v>
      </c>
      <c r="AM113" s="64">
        <f t="shared" si="30"/>
        <v>0</v>
      </c>
      <c r="AN113" s="57">
        <f>AL113+AM113</f>
        <v>10000</v>
      </c>
      <c r="AO113" s="93"/>
      <c r="AP113" s="104"/>
      <c r="AQ113" s="105"/>
      <c r="AR113" s="104">
        <v>2000</v>
      </c>
      <c r="AS113" s="104"/>
      <c r="AT113" s="104"/>
      <c r="AU113" s="104">
        <v>2000</v>
      </c>
      <c r="AV113" s="71">
        <f t="shared" ref="AV113:AV118" si="31">AR113+AS113+AT113+AU113</f>
        <v>4000</v>
      </c>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c r="BT113" s="105"/>
      <c r="BU113" s="105"/>
      <c r="BV113" s="105"/>
      <c r="BW113" s="105"/>
      <c r="BX113" s="105"/>
      <c r="BY113" s="105"/>
      <c r="BZ113" s="105"/>
      <c r="CA113" s="105"/>
      <c r="CB113" s="105"/>
      <c r="CC113" s="105"/>
      <c r="CD113" s="105"/>
      <c r="CE113" s="105"/>
      <c r="CF113" s="105"/>
      <c r="CG113" s="105"/>
      <c r="CH113" s="105"/>
      <c r="CI113" s="105"/>
      <c r="CJ113" s="105"/>
      <c r="CK113" s="105"/>
      <c r="CL113" s="105"/>
    </row>
    <row r="114" spans="1:90" s="3" customFormat="1" ht="38.25" x14ac:dyDescent="0.25">
      <c r="A114" s="90" t="s">
        <v>235</v>
      </c>
      <c r="B114" s="51" t="s">
        <v>236</v>
      </c>
      <c r="C114" s="91" t="s">
        <v>70</v>
      </c>
      <c r="D114" s="77">
        <v>3360</v>
      </c>
      <c r="E114" s="77">
        <v>1</v>
      </c>
      <c r="F114" s="56">
        <f>D114*E114</f>
        <v>3360</v>
      </c>
      <c r="G114" s="77"/>
      <c r="H114" s="56">
        <f>F114+G114</f>
        <v>3360</v>
      </c>
      <c r="I114" s="56">
        <v>41</v>
      </c>
      <c r="J114" s="56">
        <v>120</v>
      </c>
      <c r="K114" s="56">
        <f>I114*J114</f>
        <v>4920</v>
      </c>
      <c r="L114" s="56"/>
      <c r="M114" s="57">
        <f>K114+L114</f>
        <v>4920</v>
      </c>
      <c r="N114" s="67"/>
      <c r="O114" s="56"/>
      <c r="P114" s="56">
        <f>K114</f>
        <v>4920</v>
      </c>
      <c r="Q114" s="56"/>
      <c r="R114" s="56"/>
      <c r="S114" s="58">
        <f t="shared" si="29"/>
        <v>4920</v>
      </c>
      <c r="T114" s="67"/>
      <c r="U114" s="77">
        <v>3360</v>
      </c>
      <c r="V114" s="77">
        <v>2</v>
      </c>
      <c r="W114" s="64">
        <f>U114*V114</f>
        <v>6720</v>
      </c>
      <c r="X114" s="77"/>
      <c r="Y114" s="56">
        <f>W114+X114</f>
        <v>6720</v>
      </c>
      <c r="Z114" s="67"/>
      <c r="AA114" s="64">
        <v>4920</v>
      </c>
      <c r="AB114" s="64">
        <v>2</v>
      </c>
      <c r="AC114" s="64">
        <f>AA114*AB114</f>
        <v>9840</v>
      </c>
      <c r="AD114" s="64"/>
      <c r="AE114" s="56">
        <f>AC114+AD114</f>
        <v>9840</v>
      </c>
      <c r="AF114" s="77">
        <v>3360</v>
      </c>
      <c r="AG114" s="77">
        <v>2</v>
      </c>
      <c r="AH114" s="64">
        <f>AF114*AG114</f>
        <v>6720</v>
      </c>
      <c r="AI114" s="77"/>
      <c r="AJ114" s="56">
        <f>AH114+AI114</f>
        <v>6720</v>
      </c>
      <c r="AK114" s="64">
        <f t="shared" si="30"/>
        <v>5</v>
      </c>
      <c r="AL114" s="64">
        <f t="shared" si="30"/>
        <v>16800</v>
      </c>
      <c r="AM114" s="64">
        <f t="shared" si="30"/>
        <v>0</v>
      </c>
      <c r="AN114" s="57">
        <f>AL114+AM114</f>
        <v>16800</v>
      </c>
      <c r="AO114" s="93"/>
      <c r="AP114" s="49" t="s">
        <v>71</v>
      </c>
      <c r="AQ114" s="105"/>
      <c r="AR114" s="104">
        <v>4920</v>
      </c>
      <c r="AS114" s="104"/>
      <c r="AT114" s="104"/>
      <c r="AU114" s="104">
        <v>4920</v>
      </c>
      <c r="AV114" s="71">
        <f t="shared" si="31"/>
        <v>9840</v>
      </c>
      <c r="AW114" s="105"/>
      <c r="AX114" s="105"/>
      <c r="AY114" s="105"/>
      <c r="AZ114" s="105"/>
      <c r="BA114" s="105"/>
      <c r="BB114" s="105"/>
      <c r="BC114" s="105"/>
      <c r="BD114" s="105"/>
      <c r="BE114" s="105"/>
      <c r="BF114" s="105"/>
      <c r="BG114" s="105"/>
      <c r="BH114" s="105"/>
      <c r="BI114" s="105"/>
      <c r="BJ114" s="105"/>
      <c r="BK114" s="105"/>
      <c r="BL114" s="105"/>
      <c r="BM114" s="105"/>
      <c r="BN114" s="105"/>
      <c r="BO114" s="105"/>
      <c r="BP114" s="105"/>
      <c r="BQ114" s="105"/>
      <c r="BR114" s="105"/>
      <c r="BS114" s="105"/>
      <c r="BT114" s="105"/>
      <c r="BU114" s="105"/>
      <c r="BV114" s="105"/>
      <c r="BW114" s="105"/>
      <c r="BX114" s="105"/>
      <c r="BY114" s="105"/>
      <c r="BZ114" s="105"/>
      <c r="CA114" s="105"/>
      <c r="CB114" s="105"/>
      <c r="CC114" s="105"/>
      <c r="CD114" s="105"/>
      <c r="CE114" s="105"/>
      <c r="CF114" s="105"/>
      <c r="CG114" s="105"/>
      <c r="CH114" s="105"/>
      <c r="CI114" s="105"/>
      <c r="CJ114" s="105"/>
      <c r="CK114" s="105"/>
      <c r="CL114" s="105"/>
    </row>
    <row r="115" spans="1:90" s="3" customFormat="1" ht="51" x14ac:dyDescent="0.25">
      <c r="A115" s="90" t="s">
        <v>237</v>
      </c>
      <c r="B115" s="51" t="s">
        <v>238</v>
      </c>
      <c r="C115" s="91" t="s">
        <v>74</v>
      </c>
      <c r="D115" s="77">
        <v>3500</v>
      </c>
      <c r="E115" s="77">
        <v>1</v>
      </c>
      <c r="F115" s="56">
        <f>D115*E115</f>
        <v>3500</v>
      </c>
      <c r="G115" s="77"/>
      <c r="H115" s="56">
        <f>F115+G115</f>
        <v>3500</v>
      </c>
      <c r="I115" s="56">
        <v>2</v>
      </c>
      <c r="J115" s="56">
        <v>2500</v>
      </c>
      <c r="K115" s="56">
        <f>I115*J115</f>
        <v>5000</v>
      </c>
      <c r="L115" s="56"/>
      <c r="M115" s="57">
        <f>K115+L115</f>
        <v>5000</v>
      </c>
      <c r="N115" s="67"/>
      <c r="O115" s="56"/>
      <c r="P115" s="56">
        <f>K115</f>
        <v>5000</v>
      </c>
      <c r="Q115" s="56"/>
      <c r="R115" s="56"/>
      <c r="S115" s="58">
        <f t="shared" si="29"/>
        <v>5000</v>
      </c>
      <c r="T115" s="67"/>
      <c r="U115" s="77">
        <v>3500</v>
      </c>
      <c r="V115" s="77">
        <v>2</v>
      </c>
      <c r="W115" s="64">
        <f>U115*V115</f>
        <v>7000</v>
      </c>
      <c r="X115" s="77"/>
      <c r="Y115" s="56">
        <f>W115+X115</f>
        <v>7000</v>
      </c>
      <c r="Z115" s="67"/>
      <c r="AA115" s="64">
        <v>2500</v>
      </c>
      <c r="AB115" s="77">
        <v>4</v>
      </c>
      <c r="AC115" s="64">
        <f>AA115*AB115</f>
        <v>10000</v>
      </c>
      <c r="AD115" s="64"/>
      <c r="AE115" s="56">
        <f>AC115+AD115</f>
        <v>10000</v>
      </c>
      <c r="AF115" s="77">
        <v>3500</v>
      </c>
      <c r="AG115" s="77">
        <v>2</v>
      </c>
      <c r="AH115" s="64">
        <f>AF115*AG115</f>
        <v>7000</v>
      </c>
      <c r="AI115" s="77"/>
      <c r="AJ115" s="56">
        <f>AH115+AI115</f>
        <v>7000</v>
      </c>
      <c r="AK115" s="64">
        <f t="shared" si="30"/>
        <v>5</v>
      </c>
      <c r="AL115" s="64">
        <f t="shared" si="30"/>
        <v>17500</v>
      </c>
      <c r="AM115" s="64">
        <f t="shared" si="30"/>
        <v>0</v>
      </c>
      <c r="AN115" s="57">
        <f>AL115+AM115</f>
        <v>17500</v>
      </c>
      <c r="AO115" s="93"/>
      <c r="AP115" s="47" t="s">
        <v>239</v>
      </c>
      <c r="AQ115" s="105">
        <f>2500*2*2</f>
        <v>10000</v>
      </c>
      <c r="AR115" s="104">
        <v>5000</v>
      </c>
      <c r="AS115" s="104"/>
      <c r="AT115" s="104"/>
      <c r="AU115" s="104">
        <v>5000</v>
      </c>
      <c r="AV115" s="71">
        <f t="shared" si="31"/>
        <v>10000</v>
      </c>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5"/>
      <c r="BS115" s="105"/>
      <c r="BT115" s="105"/>
      <c r="BU115" s="105"/>
      <c r="BV115" s="105"/>
      <c r="BW115" s="105"/>
      <c r="BX115" s="105"/>
      <c r="BY115" s="105"/>
      <c r="BZ115" s="105"/>
      <c r="CA115" s="105"/>
      <c r="CB115" s="105"/>
      <c r="CC115" s="105"/>
      <c r="CD115" s="105"/>
      <c r="CE115" s="105"/>
      <c r="CF115" s="105"/>
      <c r="CG115" s="105"/>
      <c r="CH115" s="105"/>
      <c r="CI115" s="105"/>
      <c r="CJ115" s="105"/>
      <c r="CK115" s="105"/>
      <c r="CL115" s="105"/>
    </row>
    <row r="116" spans="1:90" s="3" customFormat="1" x14ac:dyDescent="0.25">
      <c r="A116" s="90" t="s">
        <v>240</v>
      </c>
      <c r="B116" s="51" t="s">
        <v>241</v>
      </c>
      <c r="C116" s="91" t="s">
        <v>78</v>
      </c>
      <c r="D116" s="77">
        <v>260</v>
      </c>
      <c r="E116" s="77">
        <v>1</v>
      </c>
      <c r="F116" s="56">
        <f>D116*E116</f>
        <v>260</v>
      </c>
      <c r="G116" s="77"/>
      <c r="H116" s="56">
        <f>F116+G116</f>
        <v>260</v>
      </c>
      <c r="I116" s="56">
        <v>35</v>
      </c>
      <c r="J116" s="56">
        <v>50</v>
      </c>
      <c r="K116" s="56">
        <f>I116*J116</f>
        <v>1750</v>
      </c>
      <c r="L116" s="56"/>
      <c r="M116" s="57">
        <f>K116+L116</f>
        <v>1750</v>
      </c>
      <c r="N116" s="67"/>
      <c r="O116" s="56"/>
      <c r="P116" s="56">
        <f>K116</f>
        <v>1750</v>
      </c>
      <c r="Q116" s="56"/>
      <c r="R116" s="56"/>
      <c r="S116" s="58">
        <f t="shared" si="29"/>
        <v>1750</v>
      </c>
      <c r="T116" s="67"/>
      <c r="U116" s="77">
        <v>500</v>
      </c>
      <c r="V116" s="77">
        <v>2</v>
      </c>
      <c r="W116" s="64">
        <f>U116*V116</f>
        <v>1000</v>
      </c>
      <c r="X116" s="77"/>
      <c r="Y116" s="56">
        <f>W116+X116</f>
        <v>1000</v>
      </c>
      <c r="Z116" s="67"/>
      <c r="AA116" s="77">
        <v>500</v>
      </c>
      <c r="AB116" s="77">
        <v>2</v>
      </c>
      <c r="AC116" s="64">
        <f>AA116*AB116</f>
        <v>1000</v>
      </c>
      <c r="AD116" s="77"/>
      <c r="AE116" s="56">
        <f>AC116+AD116</f>
        <v>1000</v>
      </c>
      <c r="AF116" s="77">
        <v>500</v>
      </c>
      <c r="AG116" s="77">
        <v>2</v>
      </c>
      <c r="AH116" s="64">
        <f>AF116*AG116</f>
        <v>1000</v>
      </c>
      <c r="AI116" s="77"/>
      <c r="AJ116" s="56">
        <f>AH116+AI116</f>
        <v>1000</v>
      </c>
      <c r="AK116" s="64">
        <f t="shared" si="30"/>
        <v>5</v>
      </c>
      <c r="AL116" s="64">
        <f t="shared" si="30"/>
        <v>2260</v>
      </c>
      <c r="AM116" s="64">
        <f t="shared" si="30"/>
        <v>0</v>
      </c>
      <c r="AN116" s="57">
        <f>AL116+AM116</f>
        <v>2260</v>
      </c>
      <c r="AO116" s="93"/>
      <c r="AP116" s="104"/>
      <c r="AQ116" s="105"/>
      <c r="AR116" s="104">
        <v>500</v>
      </c>
      <c r="AS116" s="104"/>
      <c r="AT116" s="104"/>
      <c r="AU116" s="104">
        <v>500</v>
      </c>
      <c r="AV116" s="71">
        <f t="shared" si="31"/>
        <v>1000</v>
      </c>
      <c r="AW116" s="105"/>
      <c r="AX116" s="105"/>
      <c r="AY116" s="105"/>
      <c r="AZ116" s="105"/>
      <c r="BA116" s="105"/>
      <c r="BB116" s="105"/>
      <c r="BC116" s="105"/>
      <c r="BD116" s="105"/>
      <c r="BE116" s="105"/>
      <c r="BF116" s="105"/>
      <c r="BG116" s="105"/>
      <c r="BH116" s="105"/>
      <c r="BI116" s="105"/>
      <c r="BJ116" s="105"/>
      <c r="BK116" s="105"/>
      <c r="BL116" s="105"/>
      <c r="BM116" s="105"/>
      <c r="BN116" s="105"/>
      <c r="BO116" s="105"/>
      <c r="BP116" s="105"/>
      <c r="BQ116" s="105"/>
      <c r="BR116" s="105"/>
      <c r="BS116" s="105"/>
      <c r="BT116" s="105"/>
      <c r="BU116" s="105"/>
      <c r="BV116" s="105"/>
      <c r="BW116" s="105"/>
      <c r="BX116" s="105"/>
      <c r="BY116" s="105"/>
      <c r="BZ116" s="105"/>
      <c r="CA116" s="105"/>
      <c r="CB116" s="105"/>
      <c r="CC116" s="105"/>
      <c r="CD116" s="105"/>
      <c r="CE116" s="105"/>
      <c r="CF116" s="105"/>
      <c r="CG116" s="105"/>
      <c r="CH116" s="105"/>
      <c r="CI116" s="105"/>
      <c r="CJ116" s="105"/>
      <c r="CK116" s="105"/>
      <c r="CL116" s="105"/>
    </row>
    <row r="117" spans="1:90" ht="15.75" x14ac:dyDescent="0.25">
      <c r="A117" s="94"/>
      <c r="B117" s="95" t="s">
        <v>242</v>
      </c>
      <c r="C117" s="96"/>
      <c r="D117" s="97">
        <f>SUM(D113:D116)</f>
        <v>9120</v>
      </c>
      <c r="E117" s="98">
        <v>1</v>
      </c>
      <c r="F117" s="97">
        <f>SUM(F113:F116)</f>
        <v>9120</v>
      </c>
      <c r="G117" s="97">
        <f>SUM(G113:G116)</f>
        <v>0</v>
      </c>
      <c r="H117" s="97">
        <f>SUM(H113:H116)</f>
        <v>9120</v>
      </c>
      <c r="I117" s="99">
        <v>1</v>
      </c>
      <c r="J117" s="97"/>
      <c r="K117" s="97">
        <f>SUM(K113:K116)</f>
        <v>13670</v>
      </c>
      <c r="L117" s="97">
        <f>SUM(L113:L116)</f>
        <v>0</v>
      </c>
      <c r="M117" s="97">
        <f>SUM(M113:M116)</f>
        <v>13670</v>
      </c>
      <c r="N117" s="100"/>
      <c r="O117" s="97">
        <f>SUM(O113:O116)</f>
        <v>0</v>
      </c>
      <c r="P117" s="97">
        <f>SUM(P113:P116)</f>
        <v>13670</v>
      </c>
      <c r="Q117" s="97">
        <f>SUM(Q113:Q116)</f>
        <v>0</v>
      </c>
      <c r="R117" s="97">
        <f>SUM(R113:R116)</f>
        <v>0</v>
      </c>
      <c r="S117" s="58">
        <f t="shared" si="29"/>
        <v>13670</v>
      </c>
      <c r="T117" s="100"/>
      <c r="U117" s="97">
        <f>SUM(U113:U116)</f>
        <v>9360</v>
      </c>
      <c r="V117" s="98">
        <v>2</v>
      </c>
      <c r="W117" s="97">
        <f>SUM(W113:W116)</f>
        <v>18720</v>
      </c>
      <c r="X117" s="97">
        <f>SUM(X113:X116)</f>
        <v>0</v>
      </c>
      <c r="Y117" s="97">
        <f>SUM(Y113:Y116)</f>
        <v>18720</v>
      </c>
      <c r="Z117" s="100"/>
      <c r="AA117" s="97"/>
      <c r="AB117" s="98">
        <v>2</v>
      </c>
      <c r="AC117" s="97">
        <f>SUM(AC113:AC116)</f>
        <v>24840</v>
      </c>
      <c r="AD117" s="97">
        <f>SUM(AD113:AD116)</f>
        <v>0</v>
      </c>
      <c r="AE117" s="97">
        <f>SUM(AE113:AE116)</f>
        <v>24840</v>
      </c>
      <c r="AF117" s="97">
        <f>SUM(AF113:AF116)</f>
        <v>9360</v>
      </c>
      <c r="AG117" s="98">
        <v>2</v>
      </c>
      <c r="AH117" s="97">
        <f>SUM(AH113:AH116)</f>
        <v>18720</v>
      </c>
      <c r="AI117" s="97">
        <f>SUM(AI113:AI116)</f>
        <v>0</v>
      </c>
      <c r="AJ117" s="97">
        <f>SUM(AJ113:AJ116)</f>
        <v>18720</v>
      </c>
      <c r="AK117" s="78">
        <f>AG117+V117+E117</f>
        <v>5</v>
      </c>
      <c r="AL117" s="97">
        <f>SUM(AL113:AL116)</f>
        <v>46560</v>
      </c>
      <c r="AM117" s="97">
        <f>SUM(AM113:AM116)</f>
        <v>0</v>
      </c>
      <c r="AN117" s="97">
        <f>SUM(AN113:AN116)</f>
        <v>46560</v>
      </c>
      <c r="AO117" s="101">
        <f>SUM(AO113:AO116)</f>
        <v>0</v>
      </c>
      <c r="AP117" s="49"/>
      <c r="AQ117" s="101"/>
      <c r="AR117" s="97">
        <f>SUM(AR113:AR116)</f>
        <v>12420</v>
      </c>
      <c r="AS117" s="97">
        <f>SUM(AS113:AS116)</f>
        <v>0</v>
      </c>
      <c r="AT117" s="97">
        <f>SUM(AT113:AT116)</f>
        <v>0</v>
      </c>
      <c r="AU117" s="97">
        <f>SUM(AU113:AU116)</f>
        <v>12420</v>
      </c>
      <c r="AV117" s="71">
        <f t="shared" si="31"/>
        <v>24840</v>
      </c>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row>
    <row r="118" spans="1:90" ht="15.75" x14ac:dyDescent="0.25">
      <c r="A118" s="111"/>
      <c r="B118" s="112" t="s">
        <v>243</v>
      </c>
      <c r="C118" s="113"/>
      <c r="D118" s="114">
        <f>SUM(D107+D111+D117)</f>
        <v>27480</v>
      </c>
      <c r="E118" s="114"/>
      <c r="F118" s="114">
        <f>SUM(F107+F111+F117)</f>
        <v>54200</v>
      </c>
      <c r="G118" s="114">
        <f>SUM(G107+G111+G117)</f>
        <v>0</v>
      </c>
      <c r="H118" s="114">
        <f>SUM(H107+H111+H117)</f>
        <v>54200</v>
      </c>
      <c r="I118" s="114"/>
      <c r="J118" s="114"/>
      <c r="K118" s="114">
        <f>SUM(K107+K111+K117)</f>
        <v>63040</v>
      </c>
      <c r="L118" s="114">
        <f>SUM(L107+L111+L117)</f>
        <v>0</v>
      </c>
      <c r="M118" s="114">
        <f>SUM(M107+M111+M117)</f>
        <v>63040</v>
      </c>
      <c r="N118" s="100"/>
      <c r="O118" s="114">
        <f>SUM(O107+O111+O117)</f>
        <v>0</v>
      </c>
      <c r="P118" s="114">
        <f>SUM(P107+P111+P117)</f>
        <v>13670</v>
      </c>
      <c r="Q118" s="114">
        <f>SUM(Q107+Q111+Q117)</f>
        <v>49370</v>
      </c>
      <c r="R118" s="114">
        <f>SUM(R107+R111+R117)</f>
        <v>0</v>
      </c>
      <c r="S118" s="58">
        <f t="shared" si="29"/>
        <v>63040</v>
      </c>
      <c r="T118" s="100"/>
      <c r="U118" s="114">
        <f>SUM(U107+U111+U117)</f>
        <v>27860</v>
      </c>
      <c r="V118" s="114"/>
      <c r="W118" s="114">
        <f>SUM(W107+W111+W117)</f>
        <v>67720</v>
      </c>
      <c r="X118" s="114">
        <f>SUM(X107+X111+X117)</f>
        <v>0</v>
      </c>
      <c r="Y118" s="114">
        <f>SUM(Y107+Y111+Y117)</f>
        <v>67720</v>
      </c>
      <c r="Z118" s="100"/>
      <c r="AA118" s="114">
        <f>SUM(AA107+AA111+AA117)</f>
        <v>0</v>
      </c>
      <c r="AB118" s="114"/>
      <c r="AC118" s="114">
        <f>SUM(AC107+AC111+AC117)</f>
        <v>81840</v>
      </c>
      <c r="AD118" s="114">
        <f>SUM(AD107+AD111+AD117)</f>
        <v>0</v>
      </c>
      <c r="AE118" s="114">
        <f>SUM(AE107+AE111+AE117)</f>
        <v>81840</v>
      </c>
      <c r="AF118" s="114">
        <f>SUM(AF107+AF111+AF117)</f>
        <v>27860</v>
      </c>
      <c r="AG118" s="114"/>
      <c r="AH118" s="114">
        <f>SUM(AH107+AH111+AH117)</f>
        <v>88220</v>
      </c>
      <c r="AI118" s="114">
        <f>SUM(AI107+AI111+AI117)</f>
        <v>0</v>
      </c>
      <c r="AJ118" s="114">
        <f>SUM(AJ107+AJ111+AJ117)</f>
        <v>88220</v>
      </c>
      <c r="AK118" s="114"/>
      <c r="AL118" s="114">
        <f>SUM(AL107+AL111+AL117)</f>
        <v>210140</v>
      </c>
      <c r="AM118" s="114">
        <f>SUM(AM107+AM111+AM117)</f>
        <v>0</v>
      </c>
      <c r="AN118" s="114">
        <f>SUM(AN107+AN111+AN117)</f>
        <v>210140</v>
      </c>
      <c r="AO118" s="115">
        <f>SUM(AO107+AO111+AO117)</f>
        <v>0</v>
      </c>
      <c r="AP118" s="49"/>
      <c r="AQ118" s="115">
        <f>SUM(AQ107+AQ111+AQ117)</f>
        <v>0</v>
      </c>
      <c r="AR118" s="114">
        <f>SUM(AR107+AR111+AR117)</f>
        <v>34920</v>
      </c>
      <c r="AS118" s="114">
        <f>SUM(AS107+AS111+AS117)</f>
        <v>6000</v>
      </c>
      <c r="AT118" s="114">
        <f>SUM(AT107+AT111+AT117)</f>
        <v>8000</v>
      </c>
      <c r="AU118" s="114">
        <f>SUM(AU107+AU111+AU117)</f>
        <v>32920</v>
      </c>
      <c r="AV118" s="71">
        <f t="shared" si="31"/>
        <v>81840</v>
      </c>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row>
    <row r="119" spans="1:90" ht="15.75" x14ac:dyDescent="0.25">
      <c r="A119" s="116"/>
      <c r="B119" s="117" t="s">
        <v>244</v>
      </c>
      <c r="C119" s="118"/>
      <c r="D119" s="119"/>
      <c r="E119" s="119"/>
      <c r="F119" s="119"/>
      <c r="G119" s="119"/>
      <c r="H119" s="119"/>
      <c r="I119" s="119"/>
      <c r="J119" s="119"/>
      <c r="K119" s="119"/>
      <c r="L119" s="119"/>
      <c r="M119" s="119"/>
      <c r="N119" s="100"/>
      <c r="O119" s="119"/>
      <c r="P119" s="119"/>
      <c r="Q119" s="119"/>
      <c r="R119" s="119"/>
      <c r="S119" s="119"/>
      <c r="T119" s="100"/>
      <c r="U119" s="119"/>
      <c r="V119" s="119"/>
      <c r="W119" s="119"/>
      <c r="X119" s="119"/>
      <c r="Y119" s="119"/>
      <c r="Z119" s="100"/>
      <c r="AA119" s="119"/>
      <c r="AB119" s="119"/>
      <c r="AC119" s="119"/>
      <c r="AD119" s="119"/>
      <c r="AE119" s="119"/>
      <c r="AF119" s="119"/>
      <c r="AG119" s="119"/>
      <c r="AH119" s="119"/>
      <c r="AI119" s="119"/>
      <c r="AJ119" s="119"/>
      <c r="AK119" s="119"/>
      <c r="AL119" s="119"/>
      <c r="AM119" s="119"/>
      <c r="AN119" s="119"/>
      <c r="AO119" s="120"/>
      <c r="AP119" s="49"/>
      <c r="AQ119" s="4"/>
      <c r="AR119" s="119"/>
      <c r="AS119" s="119"/>
      <c r="AT119" s="119"/>
      <c r="AU119" s="119"/>
      <c r="AV119" s="119"/>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row>
    <row r="120" spans="1:90" ht="31.5" x14ac:dyDescent="0.25">
      <c r="A120" s="80">
        <v>4.0999999999999996</v>
      </c>
      <c r="B120" s="162" t="s">
        <v>245</v>
      </c>
      <c r="C120" s="121"/>
      <c r="D120" s="131"/>
      <c r="E120" s="131"/>
      <c r="F120" s="131"/>
      <c r="G120" s="131"/>
      <c r="H120" s="131"/>
      <c r="I120" s="131"/>
      <c r="J120" s="131"/>
      <c r="K120" s="131"/>
      <c r="L120" s="131"/>
      <c r="M120" s="131"/>
      <c r="N120" s="132"/>
      <c r="O120" s="131"/>
      <c r="P120" s="131"/>
      <c r="Q120" s="131"/>
      <c r="R120" s="131"/>
      <c r="S120" s="131"/>
      <c r="T120" s="132"/>
      <c r="U120" s="131"/>
      <c r="V120" s="131"/>
      <c r="W120" s="131"/>
      <c r="X120" s="131"/>
      <c r="Y120" s="131"/>
      <c r="Z120" s="132"/>
      <c r="AA120" s="131"/>
      <c r="AB120" s="131"/>
      <c r="AC120" s="131"/>
      <c r="AD120" s="131"/>
      <c r="AE120" s="131"/>
      <c r="AF120" s="131"/>
      <c r="AG120" s="131"/>
      <c r="AH120" s="131"/>
      <c r="AI120" s="131"/>
      <c r="AJ120" s="131"/>
      <c r="AK120" s="131"/>
      <c r="AL120" s="131"/>
      <c r="AM120" s="131"/>
      <c r="AN120" s="131"/>
      <c r="AO120" s="133"/>
      <c r="AP120" s="49"/>
      <c r="AQ120" s="4"/>
      <c r="AR120" s="65"/>
      <c r="AS120" s="65"/>
      <c r="AT120" s="65"/>
      <c r="AU120" s="65"/>
      <c r="AV120" s="65"/>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row>
    <row r="121" spans="1:90" ht="25.5" customHeight="1" x14ac:dyDescent="0.25">
      <c r="A121" s="170" t="s">
        <v>246</v>
      </c>
      <c r="B121" s="51" t="s">
        <v>247</v>
      </c>
      <c r="C121" s="91" t="s">
        <v>62</v>
      </c>
      <c r="D121" s="125">
        <v>18000</v>
      </c>
      <c r="E121" s="125">
        <v>1</v>
      </c>
      <c r="F121" s="56">
        <f>D121*E121</f>
        <v>18000</v>
      </c>
      <c r="G121" s="125"/>
      <c r="H121" s="56">
        <f>F121+G121</f>
        <v>18000</v>
      </c>
      <c r="I121" s="56">
        <v>2</v>
      </c>
      <c r="J121" s="56">
        <v>9000</v>
      </c>
      <c r="K121" s="56">
        <f>I121*J121</f>
        <v>18000</v>
      </c>
      <c r="L121" s="56"/>
      <c r="M121" s="57">
        <f>K121+L121</f>
        <v>18000</v>
      </c>
      <c r="N121" s="67"/>
      <c r="O121" s="56">
        <f>K121</f>
        <v>18000</v>
      </c>
      <c r="P121" s="56"/>
      <c r="Q121" s="56"/>
      <c r="R121" s="56"/>
      <c r="S121" s="58">
        <f>O121+P121+Q121+R121</f>
        <v>18000</v>
      </c>
      <c r="T121" s="67"/>
      <c r="U121" s="125">
        <v>18000</v>
      </c>
      <c r="V121" s="125">
        <v>3</v>
      </c>
      <c r="W121" s="64">
        <f>U121*V121</f>
        <v>54000</v>
      </c>
      <c r="X121" s="125"/>
      <c r="Y121" s="56">
        <f>W121+X121</f>
        <v>54000</v>
      </c>
      <c r="Z121" s="67"/>
      <c r="AA121" s="125">
        <v>18000</v>
      </c>
      <c r="AB121" s="125">
        <v>3</v>
      </c>
      <c r="AC121" s="64">
        <f>AA121*AB121</f>
        <v>54000</v>
      </c>
      <c r="AD121" s="125"/>
      <c r="AE121" s="56">
        <f>AC121+AD121</f>
        <v>54000</v>
      </c>
      <c r="AF121" s="125">
        <v>18000</v>
      </c>
      <c r="AG121" s="125">
        <v>2</v>
      </c>
      <c r="AH121" s="64">
        <f>AF121*AG121</f>
        <v>36000</v>
      </c>
      <c r="AI121" s="125"/>
      <c r="AJ121" s="56">
        <f>AH121+AI121</f>
        <v>36000</v>
      </c>
      <c r="AK121" s="64">
        <f t="shared" ref="AK121:AM122" si="32">E121+V121+AG121</f>
        <v>6</v>
      </c>
      <c r="AL121" s="64">
        <f t="shared" si="32"/>
        <v>108000</v>
      </c>
      <c r="AM121" s="64">
        <f t="shared" si="32"/>
        <v>0</v>
      </c>
      <c r="AN121" s="57">
        <f>AL121+AM121</f>
        <v>108000</v>
      </c>
      <c r="AO121" s="597" t="s">
        <v>248</v>
      </c>
      <c r="AP121" s="596"/>
      <c r="AQ121" s="4"/>
      <c r="AR121" s="49">
        <v>18000</v>
      </c>
      <c r="AS121" s="49">
        <v>18000</v>
      </c>
      <c r="AT121" s="49"/>
      <c r="AU121" s="49">
        <v>18000</v>
      </c>
      <c r="AV121" s="71">
        <f>AR121+AS121+AT121+AU121</f>
        <v>54000</v>
      </c>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row>
    <row r="122" spans="1:90" ht="27" customHeight="1" x14ac:dyDescent="0.25">
      <c r="A122" s="170" t="s">
        <v>249</v>
      </c>
      <c r="B122" s="51" t="s">
        <v>250</v>
      </c>
      <c r="C122" s="91" t="s">
        <v>70</v>
      </c>
      <c r="D122" s="125">
        <v>1120</v>
      </c>
      <c r="E122" s="125">
        <v>1</v>
      </c>
      <c r="F122" s="56">
        <f>D122*E122</f>
        <v>1120</v>
      </c>
      <c r="G122" s="125"/>
      <c r="H122" s="56">
        <f>F122+G122</f>
        <v>1120</v>
      </c>
      <c r="I122" s="56">
        <v>6</v>
      </c>
      <c r="J122" s="56">
        <f>+(200*2)</f>
        <v>400</v>
      </c>
      <c r="K122" s="56">
        <f>I122*J122</f>
        <v>2400</v>
      </c>
      <c r="L122" s="56"/>
      <c r="M122" s="57">
        <f>K122+L122</f>
        <v>2400</v>
      </c>
      <c r="N122" s="67"/>
      <c r="O122" s="56">
        <f>K122</f>
        <v>2400</v>
      </c>
      <c r="P122" s="56"/>
      <c r="Q122" s="56"/>
      <c r="R122" s="56"/>
      <c r="S122" s="58">
        <f>O122+P122+Q122+R122</f>
        <v>2400</v>
      </c>
      <c r="T122" s="67"/>
      <c r="U122" s="125">
        <v>1120</v>
      </c>
      <c r="V122" s="125">
        <v>3</v>
      </c>
      <c r="W122" s="64">
        <f>U122*V122</f>
        <v>3360</v>
      </c>
      <c r="X122" s="125"/>
      <c r="Y122" s="56">
        <f>W122+X122</f>
        <v>3360</v>
      </c>
      <c r="Z122" s="67"/>
      <c r="AA122" s="125">
        <v>2400</v>
      </c>
      <c r="AB122" s="125">
        <v>3</v>
      </c>
      <c r="AC122" s="64">
        <f>AA122*AB122</f>
        <v>7200</v>
      </c>
      <c r="AD122" s="125"/>
      <c r="AE122" s="56">
        <f>AC122+AD122</f>
        <v>7200</v>
      </c>
      <c r="AF122" s="127">
        <v>1680</v>
      </c>
      <c r="AG122" s="125">
        <v>2</v>
      </c>
      <c r="AH122" s="64">
        <f>AF122*AG122</f>
        <v>3360</v>
      </c>
      <c r="AI122" s="125"/>
      <c r="AJ122" s="56">
        <f>AH122+AI122</f>
        <v>3360</v>
      </c>
      <c r="AK122" s="64">
        <f t="shared" si="32"/>
        <v>6</v>
      </c>
      <c r="AL122" s="64">
        <f t="shared" si="32"/>
        <v>7840</v>
      </c>
      <c r="AM122" s="64">
        <f t="shared" si="32"/>
        <v>0</v>
      </c>
      <c r="AN122" s="57">
        <f>AL122+AM122</f>
        <v>7840</v>
      </c>
      <c r="AO122" s="597"/>
      <c r="AP122" s="596"/>
      <c r="AQ122" s="4"/>
      <c r="AR122" s="49">
        <v>2400</v>
      </c>
      <c r="AS122" s="49">
        <v>2400</v>
      </c>
      <c r="AT122" s="49"/>
      <c r="AU122" s="49">
        <v>2400</v>
      </c>
      <c r="AV122" s="71">
        <f>AR122+AS122+AT122+AU122</f>
        <v>7200</v>
      </c>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row>
    <row r="123" spans="1:90" ht="14.25" x14ac:dyDescent="0.25">
      <c r="A123" s="171">
        <v>4.2</v>
      </c>
      <c r="B123" s="172" t="s">
        <v>251</v>
      </c>
      <c r="C123" s="173"/>
      <c r="D123" s="174"/>
      <c r="E123" s="174"/>
      <c r="F123" s="175"/>
      <c r="G123" s="174"/>
      <c r="H123" s="175"/>
      <c r="I123" s="175"/>
      <c r="J123" s="175"/>
      <c r="K123" s="175"/>
      <c r="L123" s="175"/>
      <c r="M123" s="175"/>
      <c r="N123" s="67"/>
      <c r="O123" s="175"/>
      <c r="P123" s="175"/>
      <c r="Q123" s="175"/>
      <c r="R123" s="175"/>
      <c r="S123" s="175"/>
      <c r="T123" s="67"/>
      <c r="U123" s="174"/>
      <c r="V123" s="174"/>
      <c r="W123" s="176"/>
      <c r="X123" s="174"/>
      <c r="Y123" s="175"/>
      <c r="Z123" s="67"/>
      <c r="AA123" s="175"/>
      <c r="AB123" s="175"/>
      <c r="AC123" s="175"/>
      <c r="AD123" s="175"/>
      <c r="AE123" s="175"/>
      <c r="AF123" s="174"/>
      <c r="AG123" s="174"/>
      <c r="AH123" s="176"/>
      <c r="AI123" s="174"/>
      <c r="AJ123" s="175"/>
      <c r="AK123" s="176"/>
      <c r="AL123" s="176"/>
      <c r="AM123" s="176"/>
      <c r="AN123" s="177"/>
      <c r="AO123" s="597"/>
      <c r="AP123" s="49"/>
      <c r="AQ123" s="4"/>
      <c r="AR123" s="175"/>
      <c r="AS123" s="175"/>
      <c r="AT123" s="175"/>
      <c r="AU123" s="175"/>
      <c r="AV123" s="175"/>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row>
    <row r="124" spans="1:90" x14ac:dyDescent="0.25">
      <c r="A124" s="170" t="s">
        <v>252</v>
      </c>
      <c r="B124" s="51" t="s">
        <v>251</v>
      </c>
      <c r="C124" s="91" t="s">
        <v>74</v>
      </c>
      <c r="D124" s="125">
        <v>28000</v>
      </c>
      <c r="E124" s="125">
        <v>0</v>
      </c>
      <c r="F124" s="56">
        <f>D124*E124</f>
        <v>0</v>
      </c>
      <c r="G124" s="125"/>
      <c r="H124" s="56">
        <f>F124+G124</f>
        <v>0</v>
      </c>
      <c r="I124" s="56">
        <v>0</v>
      </c>
      <c r="J124" s="56">
        <v>0</v>
      </c>
      <c r="K124" s="56">
        <f>I124*J124</f>
        <v>0</v>
      </c>
      <c r="L124" s="56"/>
      <c r="M124" s="57">
        <f>K124+L124</f>
        <v>0</v>
      </c>
      <c r="N124" s="67"/>
      <c r="O124" s="56"/>
      <c r="P124" s="56"/>
      <c r="Q124" s="56"/>
      <c r="R124" s="56"/>
      <c r="S124" s="58">
        <f>O124+P124+Q124+R124</f>
        <v>0</v>
      </c>
      <c r="T124" s="67"/>
      <c r="U124" s="125">
        <v>28000</v>
      </c>
      <c r="V124" s="125">
        <v>1</v>
      </c>
      <c r="W124" s="64">
        <f>U124*V124</f>
        <v>28000</v>
      </c>
      <c r="X124" s="125"/>
      <c r="Y124" s="56">
        <f>W124+X124</f>
        <v>28000</v>
      </c>
      <c r="Z124" s="67"/>
      <c r="AA124" s="125">
        <v>28000</v>
      </c>
      <c r="AB124" s="125">
        <v>1</v>
      </c>
      <c r="AC124" s="64">
        <f>AA124*AB124</f>
        <v>28000</v>
      </c>
      <c r="AD124" s="125"/>
      <c r="AE124" s="56">
        <f>AC124+AD124</f>
        <v>28000</v>
      </c>
      <c r="AF124" s="125">
        <v>28000</v>
      </c>
      <c r="AG124" s="125">
        <v>0</v>
      </c>
      <c r="AH124" s="64">
        <f>AF124*AG124</f>
        <v>0</v>
      </c>
      <c r="AI124" s="125"/>
      <c r="AJ124" s="56">
        <f>AH124+AI124</f>
        <v>0</v>
      </c>
      <c r="AK124" s="64">
        <f t="shared" ref="AK124:AM125" si="33">E124+V124+AG124</f>
        <v>1</v>
      </c>
      <c r="AL124" s="64">
        <f t="shared" si="33"/>
        <v>28000</v>
      </c>
      <c r="AM124" s="64">
        <f t="shared" si="33"/>
        <v>0</v>
      </c>
      <c r="AN124" s="57">
        <f>AL124+AM124</f>
        <v>28000</v>
      </c>
      <c r="AO124" s="597"/>
      <c r="AP124" s="49"/>
      <c r="AQ124" s="4"/>
      <c r="AR124" s="49"/>
      <c r="AS124" s="49"/>
      <c r="AT124" s="49">
        <v>28000</v>
      </c>
      <c r="AU124" s="49"/>
      <c r="AV124" s="71">
        <f>AR124+AS124+AT124+AU124</f>
        <v>28000</v>
      </c>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row>
    <row r="125" spans="1:90" x14ac:dyDescent="0.25">
      <c r="A125" s="170" t="s">
        <v>253</v>
      </c>
      <c r="B125" s="51" t="s">
        <v>254</v>
      </c>
      <c r="C125" s="91" t="s">
        <v>70</v>
      </c>
      <c r="D125" s="125">
        <v>7000</v>
      </c>
      <c r="E125" s="125">
        <v>0</v>
      </c>
      <c r="F125" s="56">
        <f>D125*E125</f>
        <v>0</v>
      </c>
      <c r="G125" s="125"/>
      <c r="H125" s="56">
        <f>F125+G125</f>
        <v>0</v>
      </c>
      <c r="I125" s="56"/>
      <c r="J125" s="56"/>
      <c r="K125" s="56"/>
      <c r="L125" s="56"/>
      <c r="M125" s="57">
        <f>K125+L125</f>
        <v>0</v>
      </c>
      <c r="N125" s="67"/>
      <c r="O125" s="56"/>
      <c r="P125" s="56"/>
      <c r="Q125" s="56"/>
      <c r="R125" s="56"/>
      <c r="S125" s="58">
        <f>O125+P125+Q125+R125</f>
        <v>0</v>
      </c>
      <c r="T125" s="67"/>
      <c r="U125" s="125">
        <v>7000</v>
      </c>
      <c r="V125" s="125">
        <v>1</v>
      </c>
      <c r="W125" s="64">
        <f>U125*V125</f>
        <v>7000</v>
      </c>
      <c r="X125" s="125"/>
      <c r="Y125" s="56">
        <f>W125+X125</f>
        <v>7000</v>
      </c>
      <c r="Z125" s="67"/>
      <c r="AA125" s="125">
        <v>6000</v>
      </c>
      <c r="AB125" s="125">
        <v>1</v>
      </c>
      <c r="AC125" s="64">
        <f>AA125*AB125</f>
        <v>6000</v>
      </c>
      <c r="AD125" s="125"/>
      <c r="AE125" s="56">
        <f>AC125+AD125</f>
        <v>6000</v>
      </c>
      <c r="AF125" s="125">
        <v>7000</v>
      </c>
      <c r="AG125" s="125">
        <v>0</v>
      </c>
      <c r="AH125" s="64">
        <f>AF125*AG125</f>
        <v>0</v>
      </c>
      <c r="AI125" s="125"/>
      <c r="AJ125" s="56">
        <f>AH125+AI125</f>
        <v>0</v>
      </c>
      <c r="AK125" s="64">
        <f t="shared" si="33"/>
        <v>1</v>
      </c>
      <c r="AL125" s="64">
        <f t="shared" si="33"/>
        <v>7000</v>
      </c>
      <c r="AM125" s="64">
        <f t="shared" si="33"/>
        <v>0</v>
      </c>
      <c r="AN125" s="57">
        <f>AL125+AM125</f>
        <v>7000</v>
      </c>
      <c r="AO125" s="597"/>
      <c r="AP125" s="49" t="s">
        <v>255</v>
      </c>
      <c r="AQ125" s="4"/>
      <c r="AR125" s="49"/>
      <c r="AS125" s="49"/>
      <c r="AT125" s="49">
        <v>6000</v>
      </c>
      <c r="AU125" s="49"/>
      <c r="AV125" s="71">
        <f>AR125+AS125+AT125+AU125</f>
        <v>6000</v>
      </c>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row>
    <row r="126" spans="1:90" ht="15.75" x14ac:dyDescent="0.25">
      <c r="A126" s="178"/>
      <c r="B126" s="179" t="s">
        <v>256</v>
      </c>
      <c r="C126" s="180"/>
      <c r="D126" s="181">
        <f>SUM(D121:D125)</f>
        <v>54120</v>
      </c>
      <c r="E126" s="98">
        <v>1</v>
      </c>
      <c r="F126" s="181">
        <f>SUM(F121:F125)</f>
        <v>19120</v>
      </c>
      <c r="G126" s="181">
        <f>SUM(G121:G125)</f>
        <v>0</v>
      </c>
      <c r="H126" s="181">
        <f>SUM(H121:H125)</f>
        <v>19120</v>
      </c>
      <c r="I126" s="99">
        <v>1</v>
      </c>
      <c r="J126" s="181"/>
      <c r="K126" s="181">
        <f>SUM(K121:K125)</f>
        <v>20400</v>
      </c>
      <c r="L126" s="181">
        <f>SUM(L121:L125)</f>
        <v>0</v>
      </c>
      <c r="M126" s="181">
        <f>SUM(M121:M125)</f>
        <v>20400</v>
      </c>
      <c r="N126" s="100"/>
      <c r="O126" s="181">
        <f>SUM(O121:O125)</f>
        <v>20400</v>
      </c>
      <c r="P126" s="181">
        <f>SUM(P121:P125)</f>
        <v>0</v>
      </c>
      <c r="Q126" s="181">
        <f>SUM(Q121:Q125)</f>
        <v>0</v>
      </c>
      <c r="R126" s="181">
        <f>SUM(R121:R125)</f>
        <v>0</v>
      </c>
      <c r="S126" s="58">
        <f>O126+P126+Q126+R126</f>
        <v>20400</v>
      </c>
      <c r="T126" s="100"/>
      <c r="U126" s="181">
        <f>SUM(U121:U125)</f>
        <v>54120</v>
      </c>
      <c r="V126" s="98">
        <v>3</v>
      </c>
      <c r="W126" s="181">
        <f>SUM(W121:W125)</f>
        <v>92360</v>
      </c>
      <c r="X126" s="181">
        <f>SUM(X121:X125)</f>
        <v>0</v>
      </c>
      <c r="Y126" s="181">
        <f>SUM(Y121:Y125)</f>
        <v>92360</v>
      </c>
      <c r="Z126" s="100"/>
      <c r="AA126" s="181"/>
      <c r="AB126" s="98">
        <v>1</v>
      </c>
      <c r="AC126" s="181">
        <f>SUM(AC121:AC125)</f>
        <v>95200</v>
      </c>
      <c r="AD126" s="181">
        <f>SUM(AD121:AD125)</f>
        <v>0</v>
      </c>
      <c r="AE126" s="181">
        <f>SUM(AE121:AE125)</f>
        <v>95200</v>
      </c>
      <c r="AF126" s="181">
        <f>SUM(AF121:AF125)</f>
        <v>54680</v>
      </c>
      <c r="AG126" s="98">
        <v>2</v>
      </c>
      <c r="AH126" s="181">
        <f>SUM(AH121:AH125)</f>
        <v>39360</v>
      </c>
      <c r="AI126" s="181">
        <f>SUM(AI121:AI125)</f>
        <v>0</v>
      </c>
      <c r="AJ126" s="181">
        <f>SUM(AJ121:AJ125)</f>
        <v>39360</v>
      </c>
      <c r="AK126" s="78">
        <f>AG126+V126+E126</f>
        <v>6</v>
      </c>
      <c r="AL126" s="181">
        <f>SUM(AL121:AL125)</f>
        <v>150840</v>
      </c>
      <c r="AM126" s="181">
        <f>SUM(AM121:AM125)</f>
        <v>0</v>
      </c>
      <c r="AN126" s="181">
        <f>SUM(AN121:AN125)</f>
        <v>150840</v>
      </c>
      <c r="AO126" s="182">
        <f>SUM(AO121:AO125)</f>
        <v>0</v>
      </c>
      <c r="AP126" s="49"/>
      <c r="AQ126" s="182"/>
      <c r="AR126" s="181">
        <f>SUM(AR121:AR125)</f>
        <v>20400</v>
      </c>
      <c r="AS126" s="181">
        <f>SUM(AS121:AS125)</f>
        <v>20400</v>
      </c>
      <c r="AT126" s="181">
        <f>SUM(AT121:AT125)</f>
        <v>34000</v>
      </c>
      <c r="AU126" s="181">
        <f>SUM(AU121:AU125)</f>
        <v>20400</v>
      </c>
      <c r="AV126" s="71">
        <f>AR126+AS126+AT126+AU126</f>
        <v>95200</v>
      </c>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row>
    <row r="127" spans="1:90" ht="15.75" x14ac:dyDescent="0.25">
      <c r="A127" s="80">
        <v>4.3</v>
      </c>
      <c r="B127" s="81" t="s">
        <v>257</v>
      </c>
      <c r="C127" s="121"/>
      <c r="D127" s="131"/>
      <c r="E127" s="131"/>
      <c r="F127" s="131"/>
      <c r="G127" s="131"/>
      <c r="H127" s="131"/>
      <c r="I127" s="131"/>
      <c r="J127" s="131"/>
      <c r="K127" s="131"/>
      <c r="L127" s="131"/>
      <c r="M127" s="131"/>
      <c r="N127" s="132"/>
      <c r="O127" s="131"/>
      <c r="P127" s="131"/>
      <c r="Q127" s="131"/>
      <c r="R127" s="131"/>
      <c r="S127" s="131"/>
      <c r="T127" s="132"/>
      <c r="U127" s="131"/>
      <c r="V127" s="131"/>
      <c r="W127" s="131"/>
      <c r="X127" s="131"/>
      <c r="Y127" s="131"/>
      <c r="Z127" s="132"/>
      <c r="AA127" s="131"/>
      <c r="AB127" s="131"/>
      <c r="AC127" s="131"/>
      <c r="AD127" s="131"/>
      <c r="AE127" s="131"/>
      <c r="AF127" s="131"/>
      <c r="AG127" s="131"/>
      <c r="AH127" s="131"/>
      <c r="AI127" s="131"/>
      <c r="AJ127" s="131"/>
      <c r="AK127" s="131"/>
      <c r="AL127" s="131"/>
      <c r="AM127" s="131"/>
      <c r="AN127" s="131"/>
      <c r="AO127" s="133"/>
      <c r="AP127" s="49"/>
      <c r="AQ127" s="4"/>
      <c r="AR127" s="65"/>
      <c r="AS127" s="65"/>
      <c r="AT127" s="65"/>
      <c r="AU127" s="65"/>
      <c r="AV127" s="65"/>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row>
    <row r="128" spans="1:90" ht="25.5" x14ac:dyDescent="0.25">
      <c r="A128" s="70" t="s">
        <v>258</v>
      </c>
      <c r="B128" s="51" t="s">
        <v>259</v>
      </c>
      <c r="C128" s="91" t="s">
        <v>62</v>
      </c>
      <c r="D128" s="125">
        <v>1120</v>
      </c>
      <c r="E128" s="125">
        <v>12</v>
      </c>
      <c r="F128" s="56">
        <f>D128*E128</f>
        <v>13440</v>
      </c>
      <c r="G128" s="125"/>
      <c r="H128" s="56">
        <f>F128+G128</f>
        <v>13440</v>
      </c>
      <c r="I128" s="56">
        <v>6</v>
      </c>
      <c r="J128" s="56">
        <v>120</v>
      </c>
      <c r="K128" s="56">
        <f>I128*J128*10</f>
        <v>7200</v>
      </c>
      <c r="L128" s="56"/>
      <c r="M128" s="57">
        <f>K128+L128</f>
        <v>7200</v>
      </c>
      <c r="N128" s="67"/>
      <c r="O128" s="56">
        <f>120*6</f>
        <v>720</v>
      </c>
      <c r="P128" s="56">
        <f>I128*J128*3</f>
        <v>2160</v>
      </c>
      <c r="Q128" s="56">
        <v>2160</v>
      </c>
      <c r="R128" s="56">
        <v>2160</v>
      </c>
      <c r="S128" s="58">
        <f>O128+P128+Q128+R128</f>
        <v>7200</v>
      </c>
      <c r="T128" s="67"/>
      <c r="U128" s="125">
        <v>1120</v>
      </c>
      <c r="V128" s="125">
        <v>12</v>
      </c>
      <c r="W128" s="64">
        <f>U128*V128</f>
        <v>13440</v>
      </c>
      <c r="X128" s="125"/>
      <c r="Y128" s="56">
        <f>W128+X128</f>
        <v>13440</v>
      </c>
      <c r="Z128" s="67"/>
      <c r="AA128" s="125">
        <v>720</v>
      </c>
      <c r="AB128" s="125">
        <v>12</v>
      </c>
      <c r="AC128" s="64">
        <f>AA128*AB128</f>
        <v>8640</v>
      </c>
      <c r="AD128" s="125"/>
      <c r="AE128" s="56">
        <f>AC128+AD128</f>
        <v>8640</v>
      </c>
      <c r="AF128" s="125">
        <v>2100</v>
      </c>
      <c r="AG128" s="125">
        <v>12</v>
      </c>
      <c r="AH128" s="64">
        <f>AF128*AG128</f>
        <v>25200</v>
      </c>
      <c r="AI128" s="125"/>
      <c r="AJ128" s="56">
        <f>AH128+AI128</f>
        <v>25200</v>
      </c>
      <c r="AK128" s="64">
        <f>E128+V128+AG128</f>
        <v>36</v>
      </c>
      <c r="AL128" s="64">
        <f>F128+W128+AH128</f>
        <v>52080</v>
      </c>
      <c r="AM128" s="64">
        <f>G128+X128+AI128</f>
        <v>0</v>
      </c>
      <c r="AN128" s="57">
        <f>AL128+AM128</f>
        <v>52080</v>
      </c>
      <c r="AO128" s="126"/>
      <c r="AP128" s="49" t="s">
        <v>260</v>
      </c>
      <c r="AQ128" s="4"/>
      <c r="AR128" s="49">
        <v>2160</v>
      </c>
      <c r="AS128" s="49">
        <v>2160</v>
      </c>
      <c r="AT128" s="49">
        <v>2160</v>
      </c>
      <c r="AU128" s="49">
        <v>2160</v>
      </c>
      <c r="AV128" s="71">
        <f t="shared" ref="AV128:AV133" si="34">AR128+AS128+AT128+AU128</f>
        <v>8640</v>
      </c>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row>
    <row r="129" spans="1:90" ht="15.75" x14ac:dyDescent="0.25">
      <c r="A129" s="178"/>
      <c r="B129" s="179" t="s">
        <v>261</v>
      </c>
      <c r="C129" s="180"/>
      <c r="D129" s="181">
        <f>SUM(D128:D128)</f>
        <v>1120</v>
      </c>
      <c r="E129" s="98">
        <f>SUM(E128:E128)</f>
        <v>12</v>
      </c>
      <c r="F129" s="181">
        <f>SUM(F128:F128)</f>
        <v>13440</v>
      </c>
      <c r="G129" s="181">
        <f>SUM(G128:G128)</f>
        <v>0</v>
      </c>
      <c r="H129" s="181">
        <f>SUM(H128:H128)</f>
        <v>13440</v>
      </c>
      <c r="I129" s="99">
        <v>10</v>
      </c>
      <c r="J129" s="181"/>
      <c r="K129" s="181">
        <f>SUM(K128:K128)</f>
        <v>7200</v>
      </c>
      <c r="L129" s="181">
        <f>SUM(L128:L128)</f>
        <v>0</v>
      </c>
      <c r="M129" s="181">
        <f>SUM(M128:M128)</f>
        <v>7200</v>
      </c>
      <c r="N129" s="100"/>
      <c r="O129" s="181">
        <f>SUM(O128:O128)</f>
        <v>720</v>
      </c>
      <c r="P129" s="181">
        <f>SUM(P128:P128)</f>
        <v>2160</v>
      </c>
      <c r="Q129" s="181">
        <f>SUM(Q128:Q128)</f>
        <v>2160</v>
      </c>
      <c r="R129" s="181">
        <f>SUM(R128:R128)</f>
        <v>2160</v>
      </c>
      <c r="S129" s="58">
        <f>O129+P129+Q129+R129</f>
        <v>7200</v>
      </c>
      <c r="T129" s="100"/>
      <c r="U129" s="181">
        <f>SUM(U128:U128)</f>
        <v>1120</v>
      </c>
      <c r="V129" s="98">
        <f>SUM(V128:V128)</f>
        <v>12</v>
      </c>
      <c r="W129" s="181">
        <f>SUM(W128:W128)</f>
        <v>13440</v>
      </c>
      <c r="X129" s="181">
        <f>SUM(X128:X128)</f>
        <v>0</v>
      </c>
      <c r="Y129" s="181">
        <f>SUM(Y128:Y128)</f>
        <v>13440</v>
      </c>
      <c r="Z129" s="100"/>
      <c r="AA129" s="181"/>
      <c r="AB129" s="98">
        <f t="shared" ref="AB129:AJ129" si="35">SUM(AB128:AB128)</f>
        <v>12</v>
      </c>
      <c r="AC129" s="181">
        <f t="shared" si="35"/>
        <v>8640</v>
      </c>
      <c r="AD129" s="181">
        <f t="shared" si="35"/>
        <v>0</v>
      </c>
      <c r="AE129" s="181">
        <f t="shared" si="35"/>
        <v>8640</v>
      </c>
      <c r="AF129" s="181">
        <f t="shared" si="35"/>
        <v>2100</v>
      </c>
      <c r="AG129" s="98">
        <f t="shared" si="35"/>
        <v>12</v>
      </c>
      <c r="AH129" s="181">
        <f t="shared" si="35"/>
        <v>25200</v>
      </c>
      <c r="AI129" s="181">
        <f t="shared" si="35"/>
        <v>0</v>
      </c>
      <c r="AJ129" s="181">
        <f t="shared" si="35"/>
        <v>25200</v>
      </c>
      <c r="AK129" s="78">
        <f>AG129+V129+E129</f>
        <v>36</v>
      </c>
      <c r="AL129" s="181">
        <f>SUM(AL128:AL128)</f>
        <v>52080</v>
      </c>
      <c r="AM129" s="181">
        <f>SUM(AM128:AM128)</f>
        <v>0</v>
      </c>
      <c r="AN129" s="181">
        <f>SUM(AN128:AN128)</f>
        <v>52080</v>
      </c>
      <c r="AO129" s="182">
        <f>SUM(AO128:AO128)</f>
        <v>0</v>
      </c>
      <c r="AP129" s="49"/>
      <c r="AQ129" s="182"/>
      <c r="AR129" s="181">
        <f>SUM(AR128:AR128)</f>
        <v>2160</v>
      </c>
      <c r="AS129" s="181">
        <f>SUM(AS128:AS128)</f>
        <v>2160</v>
      </c>
      <c r="AT129" s="181">
        <f>SUM(AT128:AT128)</f>
        <v>2160</v>
      </c>
      <c r="AU129" s="181">
        <f>SUM(AU128:AU128)</f>
        <v>2160</v>
      </c>
      <c r="AV129" s="71">
        <f t="shared" si="34"/>
        <v>8640</v>
      </c>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row>
    <row r="130" spans="1:90" ht="51" x14ac:dyDescent="0.25">
      <c r="A130" s="183">
        <v>4.4000000000000004</v>
      </c>
      <c r="B130" s="184" t="s">
        <v>262</v>
      </c>
      <c r="C130" s="140"/>
      <c r="D130" s="100"/>
      <c r="E130" s="100"/>
      <c r="F130" s="100"/>
      <c r="G130" s="100"/>
      <c r="H130" s="100"/>
      <c r="I130" s="100"/>
      <c r="J130" s="100"/>
      <c r="K130" s="100"/>
      <c r="L130" s="100"/>
      <c r="M130" s="100"/>
      <c r="N130" s="100"/>
      <c r="O130" s="100"/>
      <c r="P130" s="100"/>
      <c r="Q130" s="100"/>
      <c r="R130" s="100"/>
      <c r="S130" s="142"/>
      <c r="T130" s="100"/>
      <c r="U130" s="100"/>
      <c r="V130" s="100"/>
      <c r="W130" s="100"/>
      <c r="X130" s="100"/>
      <c r="Y130" s="100"/>
      <c r="Z130" s="100"/>
      <c r="AA130" s="185">
        <v>44420</v>
      </c>
      <c r="AB130" s="100">
        <v>1</v>
      </c>
      <c r="AC130" s="100">
        <f>AA130*AB130</f>
        <v>44420</v>
      </c>
      <c r="AD130" s="100">
        <v>0</v>
      </c>
      <c r="AE130" s="100">
        <f>AC130+AD130</f>
        <v>44420</v>
      </c>
      <c r="AF130" s="100"/>
      <c r="AG130" s="100"/>
      <c r="AH130" s="100"/>
      <c r="AI130" s="100"/>
      <c r="AJ130" s="100"/>
      <c r="AK130" s="77"/>
      <c r="AL130" s="100"/>
      <c r="AM130" s="100"/>
      <c r="AN130" s="100"/>
      <c r="AO130" s="141"/>
      <c r="AP130" s="186" t="s">
        <v>263</v>
      </c>
      <c r="AQ130" s="141"/>
      <c r="AR130" s="104"/>
      <c r="AS130" s="49"/>
      <c r="AT130" s="49"/>
      <c r="AU130" s="49">
        <v>44420</v>
      </c>
      <c r="AV130" s="71">
        <f t="shared" si="34"/>
        <v>44420</v>
      </c>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row>
    <row r="131" spans="1:90" ht="15.75" x14ac:dyDescent="0.25">
      <c r="A131" s="178"/>
      <c r="B131" s="179" t="s">
        <v>264</v>
      </c>
      <c r="C131" s="180"/>
      <c r="D131" s="181"/>
      <c r="E131" s="98"/>
      <c r="F131" s="181"/>
      <c r="G131" s="181"/>
      <c r="H131" s="181"/>
      <c r="I131" s="99"/>
      <c r="J131" s="181"/>
      <c r="K131" s="181"/>
      <c r="L131" s="181"/>
      <c r="M131" s="181"/>
      <c r="N131" s="100"/>
      <c r="O131" s="181"/>
      <c r="P131" s="181"/>
      <c r="Q131" s="181"/>
      <c r="R131" s="181"/>
      <c r="S131" s="58"/>
      <c r="T131" s="100"/>
      <c r="U131" s="181"/>
      <c r="V131" s="98"/>
      <c r="W131" s="181"/>
      <c r="X131" s="181"/>
      <c r="Y131" s="181"/>
      <c r="Z131" s="100"/>
      <c r="AA131" s="181"/>
      <c r="AB131" s="98">
        <v>1</v>
      </c>
      <c r="AC131" s="181">
        <f>AC130</f>
        <v>44420</v>
      </c>
      <c r="AD131" s="181"/>
      <c r="AE131" s="181">
        <f>AC131+AD131</f>
        <v>44420</v>
      </c>
      <c r="AF131" s="181"/>
      <c r="AG131" s="98"/>
      <c r="AH131" s="181"/>
      <c r="AI131" s="181"/>
      <c r="AJ131" s="181"/>
      <c r="AK131" s="78"/>
      <c r="AL131" s="181"/>
      <c r="AM131" s="181"/>
      <c r="AN131" s="181"/>
      <c r="AO131" s="182"/>
      <c r="AP131" s="49"/>
      <c r="AQ131" s="182"/>
      <c r="AR131" s="181">
        <f>AR130</f>
        <v>0</v>
      </c>
      <c r="AS131" s="181">
        <f>AS130</f>
        <v>0</v>
      </c>
      <c r="AT131" s="181">
        <f>AT130</f>
        <v>0</v>
      </c>
      <c r="AU131" s="181">
        <f>AU130</f>
        <v>44420</v>
      </c>
      <c r="AV131" s="71">
        <f t="shared" si="34"/>
        <v>44420</v>
      </c>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row>
    <row r="132" spans="1:90" ht="31.5" x14ac:dyDescent="0.25">
      <c r="A132" s="116"/>
      <c r="B132" s="187" t="s">
        <v>265</v>
      </c>
      <c r="C132" s="118"/>
      <c r="D132" s="119">
        <f>SUM(D126+D129)</f>
        <v>55240</v>
      </c>
      <c r="E132" s="119"/>
      <c r="F132" s="119">
        <f>SUM(F126+F129)</f>
        <v>32560</v>
      </c>
      <c r="G132" s="119">
        <f>SUM(G126+G129)</f>
        <v>0</v>
      </c>
      <c r="H132" s="119">
        <f>SUM(H126+H129)</f>
        <v>32560</v>
      </c>
      <c r="I132" s="119"/>
      <c r="J132" s="119"/>
      <c r="K132" s="119">
        <f>SUM(K126+K129)</f>
        <v>27600</v>
      </c>
      <c r="L132" s="119">
        <f>SUM(L126+L129)</f>
        <v>0</v>
      </c>
      <c r="M132" s="119">
        <f>SUM(M126+M129)</f>
        <v>27600</v>
      </c>
      <c r="N132" s="100"/>
      <c r="O132" s="119">
        <f>SUM(O126+O129)</f>
        <v>21120</v>
      </c>
      <c r="P132" s="119">
        <f>SUM(P126+P129)</f>
        <v>2160</v>
      </c>
      <c r="Q132" s="119">
        <f>SUM(Q126+Q129)</f>
        <v>2160</v>
      </c>
      <c r="R132" s="119">
        <f>SUM(R126+R129)</f>
        <v>2160</v>
      </c>
      <c r="S132" s="58">
        <f>O132+P132+Q132+R132</f>
        <v>27600</v>
      </c>
      <c r="T132" s="100"/>
      <c r="U132" s="119">
        <f>SUM(U126+U129)</f>
        <v>55240</v>
      </c>
      <c r="V132" s="119"/>
      <c r="W132" s="119">
        <f>SUM(W126+W129)</f>
        <v>105800</v>
      </c>
      <c r="X132" s="119">
        <f>SUM(X126+X129)</f>
        <v>0</v>
      </c>
      <c r="Y132" s="119">
        <f>SUM(Y126+Y129)</f>
        <v>105800</v>
      </c>
      <c r="Z132" s="100"/>
      <c r="AA132" s="119">
        <f>SUM(AA126+AA129)</f>
        <v>0</v>
      </c>
      <c r="AB132" s="119"/>
      <c r="AC132" s="119">
        <f>SUM(AC126+AC129+AC131)</f>
        <v>148260</v>
      </c>
      <c r="AD132" s="119">
        <f>SUM(AD126+AD129+AD131)</f>
        <v>0</v>
      </c>
      <c r="AE132" s="119">
        <f>SUM(AE126+AE129+AE131)</f>
        <v>148260</v>
      </c>
      <c r="AF132" s="119">
        <f>SUM(AF126+AF129)</f>
        <v>56780</v>
      </c>
      <c r="AG132" s="119"/>
      <c r="AH132" s="119">
        <f>SUM(AH126+AH129)</f>
        <v>64560</v>
      </c>
      <c r="AI132" s="119">
        <f>SUM(AI126+AI129)</f>
        <v>0</v>
      </c>
      <c r="AJ132" s="119">
        <f>SUM(AJ126+AJ129)</f>
        <v>64560</v>
      </c>
      <c r="AK132" s="119"/>
      <c r="AL132" s="119">
        <f>SUM(AL126+AL129)</f>
        <v>202920</v>
      </c>
      <c r="AM132" s="119">
        <f>SUM(AM126+AM129)</f>
        <v>0</v>
      </c>
      <c r="AN132" s="119">
        <f>SUM(AN126+AN129)</f>
        <v>202920</v>
      </c>
      <c r="AO132" s="120">
        <f>SUM(AO126+AO129)</f>
        <v>0</v>
      </c>
      <c r="AP132" s="49"/>
      <c r="AQ132" s="120"/>
      <c r="AR132" s="119">
        <f>SUM(AR126+AR129+AR131)</f>
        <v>22560</v>
      </c>
      <c r="AS132" s="119">
        <f>SUM(AS126+AS129+AS131)</f>
        <v>22560</v>
      </c>
      <c r="AT132" s="119">
        <f>SUM(AT126+AT129+AT131)</f>
        <v>36160</v>
      </c>
      <c r="AU132" s="119">
        <f>SUM(AU126+AU129+AU131)</f>
        <v>66980</v>
      </c>
      <c r="AV132" s="71">
        <f t="shared" si="34"/>
        <v>148260</v>
      </c>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row>
    <row r="133" spans="1:90" s="3" customFormat="1" ht="15.75" x14ac:dyDescent="0.25">
      <c r="A133" s="188"/>
      <c r="B133" s="189" t="s">
        <v>266</v>
      </c>
      <c r="C133" s="190"/>
      <c r="D133" s="191"/>
      <c r="E133" s="192"/>
      <c r="F133" s="192">
        <f>SUM(F33+F100+F118+F132)</f>
        <v>1190300</v>
      </c>
      <c r="G133" s="192">
        <f>SUM(G33+G100+G118+G132)</f>
        <v>326250</v>
      </c>
      <c r="H133" s="192">
        <f>SUM(H33+H100+H118+H132)</f>
        <v>1516550</v>
      </c>
      <c r="I133" s="192"/>
      <c r="J133" s="192"/>
      <c r="K133" s="192">
        <f>SUM(K33+K100+K118+K132)</f>
        <v>1095549.82</v>
      </c>
      <c r="L133" s="192">
        <f>SUM(L33+L100+L118+L132)</f>
        <v>190000</v>
      </c>
      <c r="M133" s="192">
        <f>SUM(M33+M100+M118+M132)</f>
        <v>1285549.82</v>
      </c>
      <c r="N133" s="100"/>
      <c r="O133" s="192">
        <f>SUM(O33+O100+O118+O132)</f>
        <v>99225</v>
      </c>
      <c r="P133" s="192">
        <f>SUM(P33+P100+P118+P132)</f>
        <v>169064.82</v>
      </c>
      <c r="Q133" s="192">
        <f>SUM(Q33+Q100+Q118+Q132)</f>
        <v>628605</v>
      </c>
      <c r="R133" s="192">
        <f>SUM(R33+R100+R118+R132)</f>
        <v>198655</v>
      </c>
      <c r="S133" s="192">
        <f>SUM(S33+S100+S118+S132)</f>
        <v>1095549.82</v>
      </c>
      <c r="T133" s="100"/>
      <c r="U133" s="192"/>
      <c r="V133" s="192"/>
      <c r="W133" s="192">
        <f>SUM(W33+W100+W118+W132)</f>
        <v>1023100</v>
      </c>
      <c r="X133" s="192">
        <f>SUM(X33+X100+X118+X132)</f>
        <v>354750</v>
      </c>
      <c r="Y133" s="192">
        <f>SUM(Y33+Y100+Y118+Y132)</f>
        <v>1377850</v>
      </c>
      <c r="Z133" s="100"/>
      <c r="AA133" s="192"/>
      <c r="AB133" s="192"/>
      <c r="AC133" s="192">
        <f t="shared" ref="AC133:AO133" si="36">SUM(AC33+AC100+AC118+AC132)</f>
        <v>906900</v>
      </c>
      <c r="AD133" s="192">
        <f t="shared" si="36"/>
        <v>224500</v>
      </c>
      <c r="AE133" s="192">
        <f t="shared" si="36"/>
        <v>1131400</v>
      </c>
      <c r="AF133" s="192">
        <f t="shared" si="36"/>
        <v>1191690</v>
      </c>
      <c r="AG133" s="192">
        <f t="shared" si="36"/>
        <v>19</v>
      </c>
      <c r="AH133" s="192">
        <f t="shared" si="36"/>
        <v>610500</v>
      </c>
      <c r="AI133" s="192">
        <f t="shared" si="36"/>
        <v>21000</v>
      </c>
      <c r="AJ133" s="192">
        <f t="shared" si="36"/>
        <v>631500</v>
      </c>
      <c r="AK133" s="192">
        <f t="shared" si="36"/>
        <v>57</v>
      </c>
      <c r="AL133" s="192">
        <f t="shared" si="36"/>
        <v>2823900</v>
      </c>
      <c r="AM133" s="192">
        <f t="shared" si="36"/>
        <v>702000</v>
      </c>
      <c r="AN133" s="192">
        <f t="shared" si="36"/>
        <v>3525900</v>
      </c>
      <c r="AO133" s="193">
        <f t="shared" si="36"/>
        <v>0</v>
      </c>
      <c r="AP133" s="104"/>
      <c r="AQ133" s="193"/>
      <c r="AR133" s="192">
        <f>SUM(AR33+AR100+AR118+AR132)</f>
        <v>145060</v>
      </c>
      <c r="AS133" s="192">
        <f>SUM(AS33+AS100+AS118+AS132)</f>
        <v>356980</v>
      </c>
      <c r="AT133" s="192">
        <f>SUM(AT33+AT100+AT118+AT132)</f>
        <v>123440</v>
      </c>
      <c r="AU133" s="192">
        <f>SUM(AU33+AU100+AU118+AU132)</f>
        <v>281420</v>
      </c>
      <c r="AV133" s="71">
        <f t="shared" si="34"/>
        <v>906900</v>
      </c>
      <c r="AW133" s="105"/>
      <c r="AX133" s="105"/>
      <c r="AY133" s="105"/>
      <c r="AZ133" s="105"/>
      <c r="BA133" s="105"/>
      <c r="BB133" s="105"/>
      <c r="BC133" s="105"/>
      <c r="BD133" s="105"/>
      <c r="BE133" s="105"/>
      <c r="BF133" s="105"/>
      <c r="BG133" s="105"/>
      <c r="BH133" s="105"/>
      <c r="BI133" s="105"/>
      <c r="BJ133" s="105"/>
      <c r="BK133" s="105"/>
      <c r="BL133" s="105"/>
      <c r="BM133" s="105"/>
      <c r="BN133" s="105"/>
      <c r="BO133" s="105"/>
      <c r="BP133" s="105"/>
      <c r="BQ133" s="105"/>
      <c r="BR133" s="105"/>
      <c r="BS133" s="105"/>
      <c r="BT133" s="105"/>
      <c r="BU133" s="105"/>
      <c r="BV133" s="105"/>
      <c r="BW133" s="105"/>
      <c r="BX133" s="105"/>
      <c r="BY133" s="105"/>
      <c r="BZ133" s="105"/>
      <c r="CA133" s="105"/>
      <c r="CB133" s="105"/>
      <c r="CC133" s="105"/>
      <c r="CD133" s="105"/>
      <c r="CE133" s="105"/>
      <c r="CF133" s="105"/>
      <c r="CG133" s="105"/>
      <c r="CH133" s="105"/>
      <c r="CI133" s="105"/>
      <c r="CJ133" s="105"/>
      <c r="CK133" s="105"/>
      <c r="CL133" s="105"/>
    </row>
    <row r="134" spans="1:90" s="3" customFormat="1" ht="15.75" x14ac:dyDescent="0.25">
      <c r="A134" s="194">
        <v>5</v>
      </c>
      <c r="B134" s="195" t="s">
        <v>267</v>
      </c>
      <c r="C134" s="196"/>
      <c r="D134" s="197"/>
      <c r="E134" s="197"/>
      <c r="F134" s="197"/>
      <c r="G134" s="197"/>
      <c r="H134" s="197"/>
      <c r="I134" s="197"/>
      <c r="J134" s="197"/>
      <c r="K134" s="197"/>
      <c r="L134" s="197"/>
      <c r="M134" s="197"/>
      <c r="N134" s="100"/>
      <c r="O134" s="197"/>
      <c r="P134" s="197"/>
      <c r="Q134" s="197"/>
      <c r="R134" s="197"/>
      <c r="S134" s="197"/>
      <c r="T134" s="100"/>
      <c r="U134" s="197"/>
      <c r="V134" s="197"/>
      <c r="W134" s="197"/>
      <c r="X134" s="197"/>
      <c r="Y134" s="197"/>
      <c r="Z134" s="100"/>
      <c r="AA134" s="197"/>
      <c r="AB134" s="197"/>
      <c r="AC134" s="197"/>
      <c r="AD134" s="197"/>
      <c r="AE134" s="197"/>
      <c r="AF134" s="197"/>
      <c r="AG134" s="197"/>
      <c r="AH134" s="197"/>
      <c r="AI134" s="197"/>
      <c r="AJ134" s="197"/>
      <c r="AK134" s="197"/>
      <c r="AL134" s="197"/>
      <c r="AM134" s="197"/>
      <c r="AN134" s="197"/>
      <c r="AO134" s="198"/>
      <c r="AP134" s="104"/>
      <c r="AQ134" s="105"/>
      <c r="AR134" s="197"/>
      <c r="AS134" s="197"/>
      <c r="AT134" s="197"/>
      <c r="AU134" s="197"/>
      <c r="AV134" s="197"/>
      <c r="AW134" s="105"/>
      <c r="AX134" s="105"/>
      <c r="AY134" s="105"/>
      <c r="AZ134" s="105"/>
      <c r="BA134" s="105"/>
      <c r="BB134" s="105"/>
      <c r="BC134" s="105"/>
      <c r="BD134" s="105"/>
      <c r="BE134" s="105"/>
      <c r="BF134" s="105"/>
      <c r="BG134" s="105"/>
      <c r="BH134" s="105"/>
      <c r="BI134" s="105"/>
      <c r="BJ134" s="105"/>
      <c r="BK134" s="105"/>
      <c r="BL134" s="105"/>
      <c r="BM134" s="105"/>
      <c r="BN134" s="105"/>
      <c r="BO134" s="105"/>
      <c r="BP134" s="105"/>
      <c r="BQ134" s="105"/>
      <c r="BR134" s="105"/>
      <c r="BS134" s="105"/>
      <c r="BT134" s="105"/>
      <c r="BU134" s="105"/>
      <c r="BV134" s="105"/>
      <c r="BW134" s="105"/>
      <c r="BX134" s="105"/>
      <c r="BY134" s="105"/>
      <c r="BZ134" s="105"/>
      <c r="CA134" s="105"/>
      <c r="CB134" s="105"/>
      <c r="CC134" s="105"/>
      <c r="CD134" s="105"/>
      <c r="CE134" s="105"/>
      <c r="CF134" s="105"/>
      <c r="CG134" s="105"/>
      <c r="CH134" s="105"/>
      <c r="CI134" s="105"/>
      <c r="CJ134" s="105"/>
      <c r="CK134" s="105"/>
      <c r="CL134" s="105"/>
    </row>
    <row r="135" spans="1:90" x14ac:dyDescent="0.25">
      <c r="A135" s="124">
        <v>5.0999999999999996</v>
      </c>
      <c r="B135" s="199" t="s">
        <v>268</v>
      </c>
      <c r="C135" s="91" t="s">
        <v>269</v>
      </c>
      <c r="D135" s="125"/>
      <c r="E135" s="125"/>
      <c r="F135" s="56">
        <f>D135*E135</f>
        <v>0</v>
      </c>
      <c r="G135" s="125"/>
      <c r="H135" s="56">
        <f>F135+G135</f>
        <v>0</v>
      </c>
      <c r="I135" s="56"/>
      <c r="J135" s="56"/>
      <c r="K135" s="56">
        <f>I135*J135</f>
        <v>0</v>
      </c>
      <c r="L135" s="56"/>
      <c r="M135" s="57">
        <f>K135+L135</f>
        <v>0</v>
      </c>
      <c r="N135" s="67"/>
      <c r="O135" s="56"/>
      <c r="P135" s="56"/>
      <c r="Q135" s="56"/>
      <c r="R135" s="56"/>
      <c r="S135" s="58">
        <f>O135+P135+Q135+R135</f>
        <v>0</v>
      </c>
      <c r="T135" s="67"/>
      <c r="U135" s="56"/>
      <c r="V135" s="125"/>
      <c r="W135" s="64">
        <f>U135*V135</f>
        <v>0</v>
      </c>
      <c r="X135" s="125"/>
      <c r="Y135" s="56">
        <f>W135+X135</f>
        <v>0</v>
      </c>
      <c r="Z135" s="67"/>
      <c r="AA135" s="56">
        <v>0</v>
      </c>
      <c r="AB135" s="56">
        <v>0</v>
      </c>
      <c r="AC135" s="56">
        <v>0</v>
      </c>
      <c r="AD135" s="56">
        <v>0</v>
      </c>
      <c r="AE135" s="56">
        <v>0</v>
      </c>
      <c r="AF135" s="56">
        <v>120000</v>
      </c>
      <c r="AG135" s="125">
        <v>1</v>
      </c>
      <c r="AH135" s="64">
        <f>AF135*AG135</f>
        <v>120000</v>
      </c>
      <c r="AI135" s="125">
        <v>15000</v>
      </c>
      <c r="AJ135" s="56">
        <f>AH135+AI135</f>
        <v>135000</v>
      </c>
      <c r="AK135" s="64">
        <f>E135+V135+AG135</f>
        <v>1</v>
      </c>
      <c r="AL135" s="64">
        <f>F135+W135+AH135</f>
        <v>120000</v>
      </c>
      <c r="AM135" s="64">
        <v>0</v>
      </c>
      <c r="AN135" s="57">
        <f>AL135+AM135</f>
        <v>120000</v>
      </c>
      <c r="AO135" s="126"/>
      <c r="AP135" s="49"/>
      <c r="AQ135" s="4"/>
      <c r="AR135" s="49"/>
      <c r="AS135" s="49"/>
      <c r="AT135" s="49"/>
      <c r="AU135" s="49"/>
      <c r="AV135" s="71">
        <f>AR135+AS135+AT135+AU135</f>
        <v>0</v>
      </c>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row>
    <row r="136" spans="1:90" s="3" customFormat="1" x14ac:dyDescent="0.25">
      <c r="A136" s="200"/>
      <c r="B136" s="201" t="s">
        <v>270</v>
      </c>
      <c r="C136" s="201"/>
      <c r="D136" s="202">
        <f>SUM(D135)</f>
        <v>0</v>
      </c>
      <c r="E136" s="202">
        <f>SUM(E135)</f>
        <v>0</v>
      </c>
      <c r="F136" s="202">
        <f>SUM(F135)</f>
        <v>0</v>
      </c>
      <c r="G136" s="202">
        <f>SUM(G135)</f>
        <v>0</v>
      </c>
      <c r="H136" s="202">
        <f>SUM(H135)</f>
        <v>0</v>
      </c>
      <c r="I136" s="202"/>
      <c r="J136" s="202"/>
      <c r="K136" s="202">
        <f>SUM(K135)</f>
        <v>0</v>
      </c>
      <c r="L136" s="202">
        <f>SUM(L135)</f>
        <v>0</v>
      </c>
      <c r="M136" s="202">
        <f>SUM(M135)</f>
        <v>0</v>
      </c>
      <c r="N136" s="100"/>
      <c r="O136" s="202">
        <f>SUM(O135)</f>
        <v>0</v>
      </c>
      <c r="P136" s="202">
        <f>SUM(P135)</f>
        <v>0</v>
      </c>
      <c r="Q136" s="202">
        <f>SUM(Q135)</f>
        <v>0</v>
      </c>
      <c r="R136" s="202">
        <f>SUM(R135)</f>
        <v>0</v>
      </c>
      <c r="S136" s="58">
        <f>O136+P136+Q136+R136</f>
        <v>0</v>
      </c>
      <c r="T136" s="100"/>
      <c r="U136" s="202">
        <f>SUM(U135)</f>
        <v>0</v>
      </c>
      <c r="V136" s="202">
        <f>SUM(V135)</f>
        <v>0</v>
      </c>
      <c r="W136" s="202">
        <f>SUM(W135)</f>
        <v>0</v>
      </c>
      <c r="X136" s="202">
        <f>SUM(X135)</f>
        <v>0</v>
      </c>
      <c r="Y136" s="202">
        <f>SUM(Y135)</f>
        <v>0</v>
      </c>
      <c r="Z136" s="100"/>
      <c r="AA136" s="202"/>
      <c r="AB136" s="202"/>
      <c r="AC136" s="202"/>
      <c r="AD136" s="202"/>
      <c r="AE136" s="202"/>
      <c r="AF136" s="202">
        <f>SUM(AF135)</f>
        <v>120000</v>
      </c>
      <c r="AG136" s="202">
        <f>SUM(AG135)</f>
        <v>1</v>
      </c>
      <c r="AH136" s="202">
        <f>SUM(AH135)</f>
        <v>120000</v>
      </c>
      <c r="AI136" s="202">
        <f>SUM(AI135)</f>
        <v>15000</v>
      </c>
      <c r="AJ136" s="202">
        <f>SUM(AJ135)</f>
        <v>135000</v>
      </c>
      <c r="AK136" s="78">
        <f>AG136+V136+E136</f>
        <v>1</v>
      </c>
      <c r="AL136" s="202">
        <f>SUM(AL135)</f>
        <v>120000</v>
      </c>
      <c r="AM136" s="202">
        <f>SUM(AM135)</f>
        <v>0</v>
      </c>
      <c r="AN136" s="202">
        <f>SUM(AN135)</f>
        <v>120000</v>
      </c>
      <c r="AO136" s="203">
        <f>SUM(AO135)</f>
        <v>0</v>
      </c>
      <c r="AP136" s="104"/>
      <c r="AQ136" s="105"/>
      <c r="AR136" s="202"/>
      <c r="AS136" s="202"/>
      <c r="AT136" s="202"/>
      <c r="AU136" s="202"/>
      <c r="AV136" s="202"/>
      <c r="AW136" s="105"/>
      <c r="AX136" s="105"/>
      <c r="AY136" s="105"/>
      <c r="AZ136" s="105"/>
      <c r="BA136" s="105"/>
      <c r="BB136" s="105"/>
      <c r="BC136" s="105"/>
      <c r="BD136" s="105"/>
      <c r="BE136" s="105"/>
      <c r="BF136" s="105"/>
      <c r="BG136" s="105"/>
      <c r="BH136" s="105"/>
      <c r="BI136" s="105"/>
      <c r="BJ136" s="105"/>
      <c r="BK136" s="105"/>
      <c r="BL136" s="105"/>
      <c r="BM136" s="105"/>
      <c r="BN136" s="105"/>
      <c r="BO136" s="105"/>
      <c r="BP136" s="105"/>
      <c r="BQ136" s="105"/>
      <c r="BR136" s="105"/>
      <c r="BS136" s="105"/>
      <c r="BT136" s="105"/>
      <c r="BU136" s="105"/>
      <c r="BV136" s="105"/>
      <c r="BW136" s="105"/>
      <c r="BX136" s="105"/>
      <c r="BY136" s="105"/>
      <c r="BZ136" s="105"/>
      <c r="CA136" s="105"/>
      <c r="CB136" s="105"/>
      <c r="CC136" s="105"/>
      <c r="CD136" s="105"/>
      <c r="CE136" s="105"/>
      <c r="CF136" s="105"/>
      <c r="CG136" s="105"/>
      <c r="CH136" s="105"/>
      <c r="CI136" s="105"/>
      <c r="CJ136" s="105"/>
      <c r="CK136" s="105"/>
      <c r="CL136" s="105"/>
    </row>
    <row r="137" spans="1:90" ht="25.5" x14ac:dyDescent="0.25">
      <c r="A137" s="204">
        <v>6</v>
      </c>
      <c r="B137" s="205" t="s">
        <v>271</v>
      </c>
      <c r="C137" s="205"/>
      <c r="D137" s="206"/>
      <c r="E137" s="206"/>
      <c r="F137" s="206"/>
      <c r="G137" s="206"/>
      <c r="H137" s="206"/>
      <c r="I137" s="206"/>
      <c r="J137" s="206"/>
      <c r="K137" s="206"/>
      <c r="L137" s="206"/>
      <c r="M137" s="206"/>
      <c r="N137" s="207"/>
      <c r="O137" s="206"/>
      <c r="P137" s="206"/>
      <c r="Q137" s="206"/>
      <c r="R137" s="206"/>
      <c r="S137" s="206"/>
      <c r="T137" s="207"/>
      <c r="U137" s="206"/>
      <c r="V137" s="206"/>
      <c r="W137" s="206"/>
      <c r="X137" s="206"/>
      <c r="Y137" s="206"/>
      <c r="Z137" s="207"/>
      <c r="AA137" s="206"/>
      <c r="AB137" s="206"/>
      <c r="AC137" s="206"/>
      <c r="AD137" s="206"/>
      <c r="AE137" s="206"/>
      <c r="AF137" s="206"/>
      <c r="AG137" s="206"/>
      <c r="AH137" s="206"/>
      <c r="AI137" s="206"/>
      <c r="AJ137" s="206"/>
      <c r="AK137" s="206"/>
      <c r="AL137" s="206"/>
      <c r="AM137" s="206"/>
      <c r="AN137" s="206"/>
      <c r="AO137" s="208"/>
      <c r="AP137" s="49"/>
      <c r="AQ137" s="4"/>
      <c r="AR137" s="65"/>
      <c r="AS137" s="65"/>
      <c r="AT137" s="65"/>
      <c r="AU137" s="65"/>
      <c r="AV137" s="65"/>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row>
    <row r="138" spans="1:90" ht="63.75" x14ac:dyDescent="0.25">
      <c r="A138" s="209">
        <v>6.1</v>
      </c>
      <c r="B138" s="210" t="s">
        <v>272</v>
      </c>
      <c r="C138" s="211" t="s">
        <v>273</v>
      </c>
      <c r="D138" s="125">
        <v>17500</v>
      </c>
      <c r="E138" s="212">
        <v>12</v>
      </c>
      <c r="F138" s="56">
        <f>D138*E138</f>
        <v>210000</v>
      </c>
      <c r="G138" s="212"/>
      <c r="H138" s="56">
        <f>F138+G138</f>
        <v>210000</v>
      </c>
      <c r="I138" s="56">
        <v>1</v>
      </c>
      <c r="J138" s="56">
        <f>+(25000*10)</f>
        <v>250000</v>
      </c>
      <c r="K138" s="56">
        <f>I138*J138</f>
        <v>250000</v>
      </c>
      <c r="L138" s="56"/>
      <c r="M138" s="57">
        <f>K138+L138</f>
        <v>250000</v>
      </c>
      <c r="N138" s="67"/>
      <c r="O138" s="56">
        <v>25000</v>
      </c>
      <c r="P138" s="56">
        <f>25000*3</f>
        <v>75000</v>
      </c>
      <c r="Q138" s="56">
        <f>25000*3</f>
        <v>75000</v>
      </c>
      <c r="R138" s="56">
        <f>25000*3</f>
        <v>75000</v>
      </c>
      <c r="S138" s="58">
        <f>O138+P138+Q138+R138</f>
        <v>250000</v>
      </c>
      <c r="T138" s="67"/>
      <c r="U138" s="56">
        <v>18400</v>
      </c>
      <c r="V138" s="212">
        <v>12</v>
      </c>
      <c r="W138" s="64">
        <f>U138*V138</f>
        <v>220800</v>
      </c>
      <c r="X138" s="212"/>
      <c r="Y138" s="56">
        <f>W138+X138</f>
        <v>220800</v>
      </c>
      <c r="Z138" s="67"/>
      <c r="AA138" s="56">
        <v>26250</v>
      </c>
      <c r="AB138" s="56">
        <v>12</v>
      </c>
      <c r="AC138" s="64">
        <f>AA138*AB138</f>
        <v>315000</v>
      </c>
      <c r="AD138" s="56"/>
      <c r="AE138" s="56">
        <f>AC138+AD138</f>
        <v>315000</v>
      </c>
      <c r="AF138" s="56">
        <v>19500</v>
      </c>
      <c r="AG138" s="212">
        <v>12</v>
      </c>
      <c r="AH138" s="64">
        <f>AF138*AG138</f>
        <v>234000</v>
      </c>
      <c r="AI138" s="212"/>
      <c r="AJ138" s="56">
        <f>AH138+AI138</f>
        <v>234000</v>
      </c>
      <c r="AK138" s="64">
        <f t="shared" ref="AK138:AM140" si="37">E138+V138+AG138</f>
        <v>36</v>
      </c>
      <c r="AL138" s="64">
        <f t="shared" si="37"/>
        <v>664800</v>
      </c>
      <c r="AM138" s="64">
        <f t="shared" si="37"/>
        <v>0</v>
      </c>
      <c r="AN138" s="57">
        <f>AL138+AM138</f>
        <v>664800</v>
      </c>
      <c r="AO138" s="213"/>
      <c r="AP138" s="54" t="s">
        <v>274</v>
      </c>
      <c r="AQ138" s="4"/>
      <c r="AR138" s="49">
        <v>78750</v>
      </c>
      <c r="AS138" s="49">
        <v>78750</v>
      </c>
      <c r="AT138" s="49">
        <v>78750</v>
      </c>
      <c r="AU138" s="49">
        <v>78750</v>
      </c>
      <c r="AV138" s="71">
        <f t="shared" ref="AV138:AV143" si="38">AR138+AS138+AT138+AU138</f>
        <v>315000</v>
      </c>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row>
    <row r="139" spans="1:90" ht="63.75" x14ac:dyDescent="0.25">
      <c r="A139" s="209">
        <v>6.2</v>
      </c>
      <c r="B139" s="210" t="s">
        <v>275</v>
      </c>
      <c r="C139" s="211" t="s">
        <v>273</v>
      </c>
      <c r="D139" s="125">
        <v>17100</v>
      </c>
      <c r="E139" s="212">
        <v>12</v>
      </c>
      <c r="F139" s="56">
        <f>D139*E139</f>
        <v>205200</v>
      </c>
      <c r="G139" s="212"/>
      <c r="H139" s="56">
        <f>F139+G139</f>
        <v>205200</v>
      </c>
      <c r="I139" s="56">
        <v>1</v>
      </c>
      <c r="J139" s="56">
        <f>+(20000*10)</f>
        <v>200000</v>
      </c>
      <c r="K139" s="56">
        <f>I139*J139</f>
        <v>200000</v>
      </c>
      <c r="L139" s="56"/>
      <c r="M139" s="57">
        <f>K139+L139</f>
        <v>200000</v>
      </c>
      <c r="N139" s="67"/>
      <c r="O139" s="56">
        <v>20000</v>
      </c>
      <c r="P139" s="56">
        <f>20000*3</f>
        <v>60000</v>
      </c>
      <c r="Q139" s="56">
        <f>20000*3</f>
        <v>60000</v>
      </c>
      <c r="R139" s="56">
        <f>20000*3</f>
        <v>60000</v>
      </c>
      <c r="S139" s="58">
        <f>O139+P139+Q139+R139</f>
        <v>200000</v>
      </c>
      <c r="T139" s="67"/>
      <c r="U139" s="56">
        <v>18000</v>
      </c>
      <c r="V139" s="212">
        <v>12</v>
      </c>
      <c r="W139" s="64">
        <f>U139*V139</f>
        <v>216000</v>
      </c>
      <c r="X139" s="212"/>
      <c r="Y139" s="56">
        <f>W139+X139</f>
        <v>216000</v>
      </c>
      <c r="Z139" s="67"/>
      <c r="AA139" s="56">
        <v>21000</v>
      </c>
      <c r="AB139" s="56">
        <v>12</v>
      </c>
      <c r="AC139" s="64">
        <f>AA139*AB139</f>
        <v>252000</v>
      </c>
      <c r="AD139" s="56"/>
      <c r="AE139" s="56">
        <f>AC139+AD139</f>
        <v>252000</v>
      </c>
      <c r="AF139" s="56">
        <v>19000</v>
      </c>
      <c r="AG139" s="212">
        <v>12</v>
      </c>
      <c r="AH139" s="64">
        <f>AF139*AG139</f>
        <v>228000</v>
      </c>
      <c r="AI139" s="212"/>
      <c r="AJ139" s="56">
        <f>AH139+AI139</f>
        <v>228000</v>
      </c>
      <c r="AK139" s="64">
        <f t="shared" si="37"/>
        <v>36</v>
      </c>
      <c r="AL139" s="64">
        <f t="shared" si="37"/>
        <v>649200</v>
      </c>
      <c r="AM139" s="64">
        <f t="shared" si="37"/>
        <v>0</v>
      </c>
      <c r="AN139" s="57">
        <f>AL139+AM139</f>
        <v>649200</v>
      </c>
      <c r="AO139" s="213"/>
      <c r="AP139" s="54" t="s">
        <v>276</v>
      </c>
      <c r="AQ139" s="4"/>
      <c r="AR139" s="49">
        <v>63000</v>
      </c>
      <c r="AS139" s="49">
        <v>63000</v>
      </c>
      <c r="AT139" s="49">
        <v>63000</v>
      </c>
      <c r="AU139" s="49">
        <v>63000</v>
      </c>
      <c r="AV139" s="71">
        <f t="shared" si="38"/>
        <v>252000</v>
      </c>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row>
    <row r="140" spans="1:90" ht="178.5" x14ac:dyDescent="0.25">
      <c r="A140" s="209">
        <v>6.3</v>
      </c>
      <c r="B140" s="210" t="s">
        <v>277</v>
      </c>
      <c r="C140" s="211" t="s">
        <v>273</v>
      </c>
      <c r="D140" s="125">
        <v>49000</v>
      </c>
      <c r="E140" s="212">
        <v>12</v>
      </c>
      <c r="F140" s="56">
        <f>D140*E140</f>
        <v>588000</v>
      </c>
      <c r="G140" s="212"/>
      <c r="H140" s="56">
        <f>F140+G140</f>
        <v>588000</v>
      </c>
      <c r="I140" s="56">
        <v>4</v>
      </c>
      <c r="J140" s="56">
        <f>+(12000*10)</f>
        <v>120000</v>
      </c>
      <c r="K140" s="56">
        <f>I140*J140</f>
        <v>480000</v>
      </c>
      <c r="L140" s="56"/>
      <c r="M140" s="57">
        <f>K140+L140</f>
        <v>480000</v>
      </c>
      <c r="N140" s="67"/>
      <c r="O140" s="56">
        <f>12000*4</f>
        <v>48000</v>
      </c>
      <c r="P140" s="56">
        <f>12000*4*3</f>
        <v>144000</v>
      </c>
      <c r="Q140" s="56">
        <f>12000*4*3</f>
        <v>144000</v>
      </c>
      <c r="R140" s="56">
        <f>12000*4*3</f>
        <v>144000</v>
      </c>
      <c r="S140" s="58">
        <f>O140+P140+Q140+R140</f>
        <v>480000</v>
      </c>
      <c r="T140" s="67"/>
      <c r="U140" s="56">
        <v>51450</v>
      </c>
      <c r="V140" s="212">
        <v>12</v>
      </c>
      <c r="W140" s="64">
        <f>U140*V140</f>
        <v>617400</v>
      </c>
      <c r="X140" s="212"/>
      <c r="Y140" s="56">
        <f>W140+X140</f>
        <v>617400</v>
      </c>
      <c r="Z140" s="67"/>
      <c r="AA140" s="56">
        <f>12600*4</f>
        <v>50400</v>
      </c>
      <c r="AB140" s="56">
        <v>12</v>
      </c>
      <c r="AC140" s="64">
        <f>AA140*AB140</f>
        <v>604800</v>
      </c>
      <c r="AD140" s="56"/>
      <c r="AE140" s="56">
        <f>AC140+AD140</f>
        <v>604800</v>
      </c>
      <c r="AF140" s="56">
        <v>54250</v>
      </c>
      <c r="AG140" s="212">
        <v>12</v>
      </c>
      <c r="AH140" s="64">
        <f>AF140*AG140</f>
        <v>651000</v>
      </c>
      <c r="AI140" s="212"/>
      <c r="AJ140" s="56">
        <f>AH140+AI140</f>
        <v>651000</v>
      </c>
      <c r="AK140" s="64">
        <f t="shared" si="37"/>
        <v>36</v>
      </c>
      <c r="AL140" s="64">
        <f t="shared" si="37"/>
        <v>1856400</v>
      </c>
      <c r="AM140" s="64">
        <f t="shared" si="37"/>
        <v>0</v>
      </c>
      <c r="AN140" s="57">
        <f>AL140+AM140</f>
        <v>1856400</v>
      </c>
      <c r="AO140" s="213"/>
      <c r="AP140" s="47" t="s">
        <v>278</v>
      </c>
      <c r="AQ140" s="4"/>
      <c r="AR140" s="49">
        <v>151200</v>
      </c>
      <c r="AS140" s="49">
        <v>151200</v>
      </c>
      <c r="AT140" s="49">
        <v>151200</v>
      </c>
      <c r="AU140" s="49">
        <v>151200</v>
      </c>
      <c r="AV140" s="71">
        <f t="shared" si="38"/>
        <v>604800</v>
      </c>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row>
    <row r="141" spans="1:90" ht="63.75" x14ac:dyDescent="0.25">
      <c r="A141" s="209">
        <v>6.4</v>
      </c>
      <c r="B141" s="210" t="s">
        <v>279</v>
      </c>
      <c r="C141" s="211" t="s">
        <v>273</v>
      </c>
      <c r="D141" s="125">
        <v>0</v>
      </c>
      <c r="E141" s="212">
        <v>0</v>
      </c>
      <c r="F141" s="56">
        <v>0</v>
      </c>
      <c r="G141" s="212"/>
      <c r="H141" s="56">
        <v>0</v>
      </c>
      <c r="I141" s="56">
        <v>1</v>
      </c>
      <c r="J141" s="56">
        <f>+(10000*10)</f>
        <v>100000</v>
      </c>
      <c r="K141" s="103">
        <f>I141*J141</f>
        <v>100000</v>
      </c>
      <c r="L141" s="56"/>
      <c r="M141" s="57">
        <f>K141+L141</f>
        <v>100000</v>
      </c>
      <c r="N141" s="67"/>
      <c r="O141" s="56">
        <v>10000</v>
      </c>
      <c r="P141" s="56">
        <f>10000*3</f>
        <v>30000</v>
      </c>
      <c r="Q141" s="56">
        <f>10000*3</f>
        <v>30000</v>
      </c>
      <c r="R141" s="56">
        <f>10000*3</f>
        <v>30000</v>
      </c>
      <c r="S141" s="58">
        <f>O141+P141+Q141+R141</f>
        <v>100000</v>
      </c>
      <c r="T141" s="67"/>
      <c r="U141" s="56"/>
      <c r="V141" s="212"/>
      <c r="W141" s="64"/>
      <c r="X141" s="212"/>
      <c r="Y141" s="56"/>
      <c r="Z141" s="67"/>
      <c r="AA141" s="56">
        <v>10500</v>
      </c>
      <c r="AB141" s="56">
        <v>12</v>
      </c>
      <c r="AC141" s="64">
        <f>AA141*AB141</f>
        <v>126000</v>
      </c>
      <c r="AD141" s="56"/>
      <c r="AE141" s="56">
        <f>AC141+AD141</f>
        <v>126000</v>
      </c>
      <c r="AF141" s="56"/>
      <c r="AG141" s="212"/>
      <c r="AH141" s="64"/>
      <c r="AI141" s="212"/>
      <c r="AJ141" s="56"/>
      <c r="AK141" s="64"/>
      <c r="AL141" s="64"/>
      <c r="AM141" s="64"/>
      <c r="AN141" s="57"/>
      <c r="AO141" s="213"/>
      <c r="AP141" s="214" t="s">
        <v>280</v>
      </c>
      <c r="AQ141" s="4"/>
      <c r="AR141" s="49">
        <v>31500</v>
      </c>
      <c r="AS141" s="49">
        <v>31500</v>
      </c>
      <c r="AT141" s="49">
        <v>31500</v>
      </c>
      <c r="AU141" s="49">
        <v>31500</v>
      </c>
      <c r="AV141" s="71">
        <f t="shared" si="38"/>
        <v>126000</v>
      </c>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row>
    <row r="142" spans="1:90" ht="102" x14ac:dyDescent="0.25">
      <c r="A142" s="209">
        <v>6.5</v>
      </c>
      <c r="B142" s="215" t="s">
        <v>281</v>
      </c>
      <c r="C142" s="211"/>
      <c r="D142" s="125"/>
      <c r="E142" s="212"/>
      <c r="F142" s="56"/>
      <c r="G142" s="212"/>
      <c r="H142" s="56"/>
      <c r="I142" s="56"/>
      <c r="J142" s="56"/>
      <c r="K142" s="103"/>
      <c r="L142" s="56"/>
      <c r="M142" s="57"/>
      <c r="N142" s="67"/>
      <c r="O142" s="56"/>
      <c r="P142" s="56"/>
      <c r="Q142" s="56"/>
      <c r="R142" s="56"/>
      <c r="S142" s="58"/>
      <c r="T142" s="67"/>
      <c r="U142" s="56"/>
      <c r="V142" s="212"/>
      <c r="W142" s="64"/>
      <c r="X142" s="212"/>
      <c r="Y142" s="56"/>
      <c r="Z142" s="67"/>
      <c r="AA142" s="216">
        <v>8000</v>
      </c>
      <c r="AB142" s="216">
        <v>12</v>
      </c>
      <c r="AC142" s="77">
        <f>AA142*AB142</f>
        <v>96000</v>
      </c>
      <c r="AD142" s="67"/>
      <c r="AE142" s="67">
        <f>AC142+AD142</f>
        <v>96000</v>
      </c>
      <c r="AF142" s="216"/>
      <c r="AG142" s="217"/>
      <c r="AH142" s="218"/>
      <c r="AI142" s="217"/>
      <c r="AJ142" s="216"/>
      <c r="AK142" s="218"/>
      <c r="AL142" s="218"/>
      <c r="AM142" s="218"/>
      <c r="AN142" s="219"/>
      <c r="AO142" s="220"/>
      <c r="AP142" s="221" t="s">
        <v>282</v>
      </c>
      <c r="AQ142" s="4"/>
      <c r="AR142" s="49">
        <v>24000</v>
      </c>
      <c r="AS142" s="49">
        <v>24000</v>
      </c>
      <c r="AT142" s="49">
        <v>24000</v>
      </c>
      <c r="AU142" s="49">
        <v>24000</v>
      </c>
      <c r="AV142" s="71">
        <f t="shared" si="38"/>
        <v>96000</v>
      </c>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row>
    <row r="143" spans="1:90" x14ac:dyDescent="0.25">
      <c r="A143" s="222"/>
      <c r="B143" s="201" t="s">
        <v>283</v>
      </c>
      <c r="C143" s="201"/>
      <c r="D143" s="202">
        <f>SUM(D138:D141)</f>
        <v>83600</v>
      </c>
      <c r="E143" s="202"/>
      <c r="F143" s="202">
        <f>SUM(F138:F141)</f>
        <v>1003200</v>
      </c>
      <c r="G143" s="202">
        <f>SUM(G138:G140)</f>
        <v>0</v>
      </c>
      <c r="H143" s="202">
        <f>SUM(H138:H141)</f>
        <v>1003200</v>
      </c>
      <c r="I143" s="202"/>
      <c r="J143" s="202"/>
      <c r="K143" s="110">
        <f>SUM(K138:K141)</f>
        <v>1030000</v>
      </c>
      <c r="L143" s="202">
        <f>SUM(L138:L140)</f>
        <v>0</v>
      </c>
      <c r="M143" s="202">
        <f>SUM(M138:M141)</f>
        <v>1030000</v>
      </c>
      <c r="N143" s="100"/>
      <c r="O143" s="202">
        <f>SUM(O138:O141)</f>
        <v>103000</v>
      </c>
      <c r="P143" s="202">
        <f>SUM(P138:P141)</f>
        <v>309000</v>
      </c>
      <c r="Q143" s="202">
        <f>SUM(Q138:Q141)</f>
        <v>309000</v>
      </c>
      <c r="R143" s="202">
        <f>SUM(R138:R141)</f>
        <v>309000</v>
      </c>
      <c r="S143" s="58">
        <f>O143+P143+Q143+R143</f>
        <v>1030000</v>
      </c>
      <c r="T143" s="100"/>
      <c r="U143" s="202">
        <f>SUM(U138:U140)</f>
        <v>87850</v>
      </c>
      <c r="V143" s="202"/>
      <c r="W143" s="202">
        <f>SUM(W138:W140)</f>
        <v>1054200</v>
      </c>
      <c r="X143" s="202">
        <f>SUM(X138:X140)</f>
        <v>0</v>
      </c>
      <c r="Y143" s="202">
        <f>SUM(Y138:Y140)</f>
        <v>1054200</v>
      </c>
      <c r="Z143" s="100"/>
      <c r="AA143" s="202">
        <f>SUM(AA138:AA142)</f>
        <v>116150</v>
      </c>
      <c r="AB143" s="202">
        <v>12</v>
      </c>
      <c r="AC143" s="202">
        <f>SUM(AC138:AC142)</f>
        <v>1393800</v>
      </c>
      <c r="AD143" s="202">
        <f>SUM(AD138:AD140)</f>
        <v>0</v>
      </c>
      <c r="AE143" s="202">
        <f>SUM(AE138:AE142)</f>
        <v>1393800</v>
      </c>
      <c r="AF143" s="202">
        <f t="shared" ref="AF143:AO143" si="39">SUM(AF138:AF140)</f>
        <v>92750</v>
      </c>
      <c r="AG143" s="202">
        <f t="shared" si="39"/>
        <v>36</v>
      </c>
      <c r="AH143" s="202">
        <f t="shared" si="39"/>
        <v>1113000</v>
      </c>
      <c r="AI143" s="202">
        <f t="shared" si="39"/>
        <v>0</v>
      </c>
      <c r="AJ143" s="202">
        <f t="shared" si="39"/>
        <v>1113000</v>
      </c>
      <c r="AK143" s="202">
        <f t="shared" si="39"/>
        <v>108</v>
      </c>
      <c r="AL143" s="202">
        <f t="shared" si="39"/>
        <v>3170400</v>
      </c>
      <c r="AM143" s="202">
        <f t="shared" si="39"/>
        <v>0</v>
      </c>
      <c r="AN143" s="202">
        <f t="shared" si="39"/>
        <v>3170400</v>
      </c>
      <c r="AO143" s="203">
        <f t="shared" si="39"/>
        <v>0</v>
      </c>
      <c r="AP143" s="49"/>
      <c r="AQ143" s="203"/>
      <c r="AR143" s="202">
        <f>SUM(AR138:AR142)</f>
        <v>348450</v>
      </c>
      <c r="AS143" s="202">
        <f>SUM(AS138:AS142)</f>
        <v>348450</v>
      </c>
      <c r="AT143" s="202">
        <f>SUM(AT138:AT142)</f>
        <v>348450</v>
      </c>
      <c r="AU143" s="202">
        <f>SUM(AU138:AU142)</f>
        <v>348450</v>
      </c>
      <c r="AV143" s="71">
        <f t="shared" si="38"/>
        <v>1393800</v>
      </c>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row>
    <row r="144" spans="1:90" x14ac:dyDescent="0.25">
      <c r="A144" s="223">
        <v>7</v>
      </c>
      <c r="B144" s="224" t="s">
        <v>284</v>
      </c>
      <c r="C144" s="225"/>
      <c r="D144" s="226"/>
      <c r="E144" s="226"/>
      <c r="F144" s="226"/>
      <c r="G144" s="226"/>
      <c r="H144" s="226"/>
      <c r="I144" s="226"/>
      <c r="J144" s="226"/>
      <c r="K144" s="226"/>
      <c r="L144" s="226"/>
      <c r="M144" s="226"/>
      <c r="N144" s="100"/>
      <c r="O144" s="226"/>
      <c r="P144" s="226"/>
      <c r="Q144" s="226"/>
      <c r="R144" s="226"/>
      <c r="S144" s="226"/>
      <c r="T144" s="100"/>
      <c r="U144" s="226"/>
      <c r="V144" s="226"/>
      <c r="W144" s="226"/>
      <c r="X144" s="226"/>
      <c r="Y144" s="226"/>
      <c r="Z144" s="100"/>
      <c r="AA144" s="226"/>
      <c r="AB144" s="226"/>
      <c r="AC144" s="226"/>
      <c r="AD144" s="226"/>
      <c r="AE144" s="226"/>
      <c r="AF144" s="226"/>
      <c r="AG144" s="226"/>
      <c r="AH144" s="226"/>
      <c r="AI144" s="226"/>
      <c r="AJ144" s="226"/>
      <c r="AK144" s="226"/>
      <c r="AL144" s="226"/>
      <c r="AM144" s="226"/>
      <c r="AN144" s="226"/>
      <c r="AO144" s="227"/>
      <c r="AP144" s="49"/>
      <c r="AQ144" s="4"/>
      <c r="AR144" s="226"/>
      <c r="AS144" s="226"/>
      <c r="AT144" s="226"/>
      <c r="AU144" s="226"/>
      <c r="AV144" s="226"/>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row>
    <row r="145" spans="1:90" ht="25.5" x14ac:dyDescent="0.25">
      <c r="A145" s="209">
        <v>7.1</v>
      </c>
      <c r="B145" s="199" t="s">
        <v>285</v>
      </c>
      <c r="C145" s="91" t="s">
        <v>74</v>
      </c>
      <c r="D145" s="125">
        <v>5000</v>
      </c>
      <c r="E145" s="125">
        <v>2</v>
      </c>
      <c r="F145" s="56">
        <f>D145*E145</f>
        <v>10000</v>
      </c>
      <c r="G145" s="125">
        <v>20000</v>
      </c>
      <c r="H145" s="56">
        <f>F145+G145</f>
        <v>30000</v>
      </c>
      <c r="I145" s="56">
        <v>1</v>
      </c>
      <c r="J145" s="56">
        <f>+(8*15000)</f>
        <v>120000</v>
      </c>
      <c r="K145" s="56">
        <f>I145*J145</f>
        <v>120000</v>
      </c>
      <c r="L145" s="56"/>
      <c r="M145" s="57">
        <f>K145+L145</f>
        <v>120000</v>
      </c>
      <c r="N145" s="67"/>
      <c r="O145" s="56">
        <v>15000</v>
      </c>
      <c r="P145" s="56">
        <f>15000*3</f>
        <v>45000</v>
      </c>
      <c r="Q145" s="56">
        <f>15000*3</f>
        <v>45000</v>
      </c>
      <c r="R145" s="56">
        <v>15000</v>
      </c>
      <c r="S145" s="58">
        <f>O145+P145+Q145+R145</f>
        <v>120000</v>
      </c>
      <c r="T145" s="67"/>
      <c r="U145" s="56">
        <v>5000</v>
      </c>
      <c r="V145" s="125">
        <v>2</v>
      </c>
      <c r="W145" s="64">
        <f>U145*V145</f>
        <v>10000</v>
      </c>
      <c r="X145" s="125">
        <v>20000</v>
      </c>
      <c r="Y145" s="56">
        <f>W145+X145</f>
        <v>30000</v>
      </c>
      <c r="Z145" s="67"/>
      <c r="AA145" s="56">
        <v>15000</v>
      </c>
      <c r="AB145" s="56">
        <v>6</v>
      </c>
      <c r="AC145" s="64">
        <f>AA145*AB145</f>
        <v>90000</v>
      </c>
      <c r="AD145" s="56"/>
      <c r="AE145" s="56">
        <f>AC145+AD145</f>
        <v>90000</v>
      </c>
      <c r="AF145" s="137">
        <v>8900</v>
      </c>
      <c r="AG145" s="125">
        <v>2</v>
      </c>
      <c r="AH145" s="64">
        <f>AF145*AG145</f>
        <v>17800</v>
      </c>
      <c r="AI145" s="125">
        <v>20000</v>
      </c>
      <c r="AJ145" s="56">
        <f>AH145+AI145</f>
        <v>37800</v>
      </c>
      <c r="AK145" s="64">
        <f t="shared" ref="AK145:AM148" si="40">E145+V145+AG145</f>
        <v>6</v>
      </c>
      <c r="AL145" s="64">
        <f t="shared" si="40"/>
        <v>37800</v>
      </c>
      <c r="AM145" s="64">
        <f t="shared" si="40"/>
        <v>60000</v>
      </c>
      <c r="AN145" s="57">
        <f>AL145+AM145</f>
        <v>97800</v>
      </c>
      <c r="AO145" s="126"/>
      <c r="AP145" s="49"/>
      <c r="AQ145" s="4"/>
      <c r="AR145" s="49">
        <v>15000</v>
      </c>
      <c r="AS145" s="49">
        <v>30000</v>
      </c>
      <c r="AT145" s="49">
        <v>15000</v>
      </c>
      <c r="AU145" s="49">
        <v>30000</v>
      </c>
      <c r="AV145" s="71">
        <f>AR145+AS145+AT145+AU145</f>
        <v>90000</v>
      </c>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row>
    <row r="146" spans="1:90" ht="51" x14ac:dyDescent="0.25">
      <c r="A146" s="209">
        <v>7.2</v>
      </c>
      <c r="B146" s="84" t="s">
        <v>286</v>
      </c>
      <c r="C146" s="91" t="s">
        <v>74</v>
      </c>
      <c r="D146" s="125">
        <v>2400</v>
      </c>
      <c r="E146" s="125">
        <v>12</v>
      </c>
      <c r="F146" s="56">
        <f>D146*E146</f>
        <v>28800</v>
      </c>
      <c r="G146" s="125"/>
      <c r="H146" s="56">
        <f>F146+G146</f>
        <v>28800</v>
      </c>
      <c r="I146" s="56">
        <v>1</v>
      </c>
      <c r="J146" s="56">
        <f>+(2400*10)</f>
        <v>24000</v>
      </c>
      <c r="K146" s="56">
        <f>I146*J146</f>
        <v>24000</v>
      </c>
      <c r="L146" s="56"/>
      <c r="M146" s="57">
        <f>K146+L146</f>
        <v>24000</v>
      </c>
      <c r="N146" s="67"/>
      <c r="O146" s="56">
        <v>2400</v>
      </c>
      <c r="P146" s="56">
        <f t="shared" ref="P146:R147" si="41">2400*3</f>
        <v>7200</v>
      </c>
      <c r="Q146" s="56">
        <f t="shared" si="41"/>
        <v>7200</v>
      </c>
      <c r="R146" s="56">
        <f t="shared" si="41"/>
        <v>7200</v>
      </c>
      <c r="S146" s="58">
        <f>O146+P146+Q146+R146</f>
        <v>24000</v>
      </c>
      <c r="T146" s="67"/>
      <c r="U146" s="56">
        <v>2500</v>
      </c>
      <c r="V146" s="125">
        <v>12</v>
      </c>
      <c r="W146" s="64">
        <f>U146*V146</f>
        <v>30000</v>
      </c>
      <c r="X146" s="125"/>
      <c r="Y146" s="56">
        <f>W146+X146</f>
        <v>30000</v>
      </c>
      <c r="Z146" s="67"/>
      <c r="AA146" s="56">
        <v>2500</v>
      </c>
      <c r="AB146" s="56">
        <v>12</v>
      </c>
      <c r="AC146" s="64">
        <f>AA146*AB146</f>
        <v>30000</v>
      </c>
      <c r="AD146" s="56"/>
      <c r="AE146" s="56">
        <f>AC146+AD146</f>
        <v>30000</v>
      </c>
      <c r="AF146" s="56">
        <v>2600</v>
      </c>
      <c r="AG146" s="125">
        <v>12</v>
      </c>
      <c r="AH146" s="64">
        <f>AF146*AG146</f>
        <v>31200</v>
      </c>
      <c r="AI146" s="125"/>
      <c r="AJ146" s="56">
        <f>AH146+AI146</f>
        <v>31200</v>
      </c>
      <c r="AK146" s="64">
        <f t="shared" si="40"/>
        <v>36</v>
      </c>
      <c r="AL146" s="64">
        <f t="shared" si="40"/>
        <v>90000</v>
      </c>
      <c r="AM146" s="64">
        <f t="shared" si="40"/>
        <v>0</v>
      </c>
      <c r="AN146" s="57">
        <f>AL146+AM146</f>
        <v>90000</v>
      </c>
      <c r="AO146" s="126"/>
      <c r="AP146" s="54" t="s">
        <v>287</v>
      </c>
      <c r="AQ146" s="4"/>
      <c r="AR146" s="49">
        <v>7500</v>
      </c>
      <c r="AS146" s="49">
        <v>7500</v>
      </c>
      <c r="AT146" s="49">
        <v>7500</v>
      </c>
      <c r="AU146" s="49">
        <v>7500</v>
      </c>
      <c r="AV146" s="71">
        <f>AR146+AS146+AT146+AU146</f>
        <v>30000</v>
      </c>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row>
    <row r="147" spans="1:90" ht="51" x14ac:dyDescent="0.25">
      <c r="A147" s="209">
        <v>7.3</v>
      </c>
      <c r="B147" s="84" t="s">
        <v>288</v>
      </c>
      <c r="C147" s="91" t="s">
        <v>74</v>
      </c>
      <c r="D147" s="125">
        <v>2300</v>
      </c>
      <c r="E147" s="125">
        <v>12</v>
      </c>
      <c r="F147" s="56">
        <f>D147*E147</f>
        <v>27600</v>
      </c>
      <c r="G147" s="125"/>
      <c r="H147" s="56">
        <f>F147+G147</f>
        <v>27600</v>
      </c>
      <c r="I147" s="56">
        <v>1</v>
      </c>
      <c r="J147" s="56">
        <f>+(2400*10)</f>
        <v>24000</v>
      </c>
      <c r="K147" s="56">
        <f>I147*J147</f>
        <v>24000</v>
      </c>
      <c r="L147" s="56"/>
      <c r="M147" s="57">
        <f>K147+L147</f>
        <v>24000</v>
      </c>
      <c r="N147" s="67"/>
      <c r="O147" s="56">
        <v>2400</v>
      </c>
      <c r="P147" s="56">
        <f t="shared" si="41"/>
        <v>7200</v>
      </c>
      <c r="Q147" s="56">
        <f t="shared" si="41"/>
        <v>7200</v>
      </c>
      <c r="R147" s="56">
        <f t="shared" si="41"/>
        <v>7200</v>
      </c>
      <c r="S147" s="58">
        <f>O147+P147+Q147+R147</f>
        <v>24000</v>
      </c>
      <c r="T147" s="67"/>
      <c r="U147" s="56">
        <v>2400</v>
      </c>
      <c r="V147" s="125">
        <v>12</v>
      </c>
      <c r="W147" s="64">
        <f>U147*V147</f>
        <v>28800</v>
      </c>
      <c r="X147" s="125"/>
      <c r="Y147" s="56">
        <f>W147+X147</f>
        <v>28800</v>
      </c>
      <c r="Z147" s="67"/>
      <c r="AA147" s="56">
        <v>2500</v>
      </c>
      <c r="AB147" s="56">
        <v>12</v>
      </c>
      <c r="AC147" s="64">
        <f>AA147*AB147</f>
        <v>30000</v>
      </c>
      <c r="AD147" s="56"/>
      <c r="AE147" s="56">
        <f>AC147+AD147</f>
        <v>30000</v>
      </c>
      <c r="AF147" s="56">
        <v>2500</v>
      </c>
      <c r="AG147" s="125">
        <v>12</v>
      </c>
      <c r="AH147" s="64">
        <f>AF147*AG147</f>
        <v>30000</v>
      </c>
      <c r="AI147" s="125"/>
      <c r="AJ147" s="56">
        <f>AH147+AI147</f>
        <v>30000</v>
      </c>
      <c r="AK147" s="64">
        <f t="shared" si="40"/>
        <v>36</v>
      </c>
      <c r="AL147" s="64">
        <f t="shared" si="40"/>
        <v>86400</v>
      </c>
      <c r="AM147" s="64">
        <f t="shared" si="40"/>
        <v>0</v>
      </c>
      <c r="AN147" s="57">
        <f>AL147+AM147</f>
        <v>86400</v>
      </c>
      <c r="AO147" s="126"/>
      <c r="AP147" s="54" t="s">
        <v>287</v>
      </c>
      <c r="AQ147" s="4"/>
      <c r="AR147" s="49">
        <v>7500</v>
      </c>
      <c r="AS147" s="49">
        <v>7500</v>
      </c>
      <c r="AT147" s="49">
        <v>7500</v>
      </c>
      <c r="AU147" s="49">
        <v>7500</v>
      </c>
      <c r="AV147" s="71">
        <f>AR147+AS147+AT147+AU147</f>
        <v>30000</v>
      </c>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row>
    <row r="148" spans="1:90" ht="33" customHeight="1" x14ac:dyDescent="0.25">
      <c r="A148" s="209">
        <v>7.4</v>
      </c>
      <c r="B148" s="51" t="s">
        <v>289</v>
      </c>
      <c r="C148" s="91" t="s">
        <v>74</v>
      </c>
      <c r="D148" s="125">
        <v>7500</v>
      </c>
      <c r="E148" s="125">
        <v>12</v>
      </c>
      <c r="F148" s="56">
        <f>D148*E148</f>
        <v>90000</v>
      </c>
      <c r="G148" s="125"/>
      <c r="H148" s="56">
        <f>F148+G148</f>
        <v>90000</v>
      </c>
      <c r="I148" s="56">
        <v>4</v>
      </c>
      <c r="J148" s="56">
        <f>+(1500*10)</f>
        <v>15000</v>
      </c>
      <c r="K148" s="56">
        <f>I148*J148</f>
        <v>60000</v>
      </c>
      <c r="L148" s="56"/>
      <c r="M148" s="57">
        <f>K148+L148</f>
        <v>60000</v>
      </c>
      <c r="N148" s="67"/>
      <c r="O148" s="56">
        <f>1500*4</f>
        <v>6000</v>
      </c>
      <c r="P148" s="56">
        <f>1500*4*3</f>
        <v>18000</v>
      </c>
      <c r="Q148" s="56">
        <f>1500*4*3</f>
        <v>18000</v>
      </c>
      <c r="R148" s="56">
        <f>1500*4*3</f>
        <v>18000</v>
      </c>
      <c r="S148" s="58">
        <f>O148+P148+Q148+R148</f>
        <v>60000</v>
      </c>
      <c r="T148" s="67"/>
      <c r="U148" s="56">
        <v>8000</v>
      </c>
      <c r="V148" s="125">
        <v>12</v>
      </c>
      <c r="W148" s="64">
        <f>U148*V148</f>
        <v>96000</v>
      </c>
      <c r="X148" s="125"/>
      <c r="Y148" s="56">
        <f>W148+X148</f>
        <v>96000</v>
      </c>
      <c r="Z148" s="67"/>
      <c r="AA148" s="56">
        <v>1600</v>
      </c>
      <c r="AB148" s="67">
        <v>48</v>
      </c>
      <c r="AC148" s="64">
        <f>AA148*AB148</f>
        <v>76800</v>
      </c>
      <c r="AD148" s="56"/>
      <c r="AE148" s="56">
        <f>AC148+AD148</f>
        <v>76800</v>
      </c>
      <c r="AF148" s="56">
        <v>8500</v>
      </c>
      <c r="AG148" s="125">
        <v>12</v>
      </c>
      <c r="AH148" s="64">
        <f>AF148*AG148</f>
        <v>102000</v>
      </c>
      <c r="AI148" s="125"/>
      <c r="AJ148" s="56">
        <f>AH148+AI148</f>
        <v>102000</v>
      </c>
      <c r="AK148" s="64">
        <f t="shared" si="40"/>
        <v>36</v>
      </c>
      <c r="AL148" s="64">
        <f t="shared" si="40"/>
        <v>288000</v>
      </c>
      <c r="AM148" s="64">
        <f t="shared" si="40"/>
        <v>0</v>
      </c>
      <c r="AN148" s="57">
        <f>AL148+AM148</f>
        <v>288000</v>
      </c>
      <c r="AO148" s="126"/>
      <c r="AP148" s="47" t="s">
        <v>290</v>
      </c>
      <c r="AQ148" s="4">
        <f>1600*12*4</f>
        <v>76800</v>
      </c>
      <c r="AR148" s="49">
        <v>19200</v>
      </c>
      <c r="AS148" s="49">
        <v>19200</v>
      </c>
      <c r="AT148" s="49">
        <v>19200</v>
      </c>
      <c r="AU148" s="49">
        <v>19200</v>
      </c>
      <c r="AV148" s="71">
        <f>AR148+AS148+AT148+AU148</f>
        <v>76800</v>
      </c>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row>
    <row r="149" spans="1:90" x14ac:dyDescent="0.25">
      <c r="A149" s="223"/>
      <c r="B149" s="228" t="s">
        <v>291</v>
      </c>
      <c r="C149" s="225"/>
      <c r="D149" s="226">
        <f>SUM(D145:D148)</f>
        <v>17200</v>
      </c>
      <c r="E149" s="226"/>
      <c r="F149" s="226">
        <f>SUM(F145:F148)</f>
        <v>156400</v>
      </c>
      <c r="G149" s="226">
        <f>SUM(G145:G148)</f>
        <v>20000</v>
      </c>
      <c r="H149" s="226">
        <f>SUM(H145:H148)</f>
        <v>176400</v>
      </c>
      <c r="I149" s="226"/>
      <c r="J149" s="226"/>
      <c r="K149" s="226">
        <f>SUM(K145:K148)</f>
        <v>228000</v>
      </c>
      <c r="L149" s="226">
        <f>SUM(L145:L148)</f>
        <v>0</v>
      </c>
      <c r="M149" s="226">
        <f>SUM(M145:M148)</f>
        <v>228000</v>
      </c>
      <c r="N149" s="100"/>
      <c r="O149" s="226">
        <f>SUM(O145:O148)</f>
        <v>25800</v>
      </c>
      <c r="P149" s="226">
        <f>SUM(P145:P148)</f>
        <v>77400</v>
      </c>
      <c r="Q149" s="226">
        <f>SUM(Q145:Q148)</f>
        <v>77400</v>
      </c>
      <c r="R149" s="226">
        <f>SUM(R145:R148)</f>
        <v>47400</v>
      </c>
      <c r="S149" s="58">
        <f>O149+P149+Q149+R149</f>
        <v>228000</v>
      </c>
      <c r="T149" s="100"/>
      <c r="U149" s="226">
        <f>SUM(U145:U148)</f>
        <v>17900</v>
      </c>
      <c r="V149" s="226"/>
      <c r="W149" s="226">
        <f>SUM(W145:W148)</f>
        <v>164800</v>
      </c>
      <c r="X149" s="226">
        <f>SUM(X145:X148)</f>
        <v>20000</v>
      </c>
      <c r="Y149" s="226">
        <f>SUM(Y145:Y148)</f>
        <v>184800</v>
      </c>
      <c r="Z149" s="100"/>
      <c r="AA149" s="226">
        <f>SUM(AA145:AA148)</f>
        <v>21600</v>
      </c>
      <c r="AB149" s="226">
        <v>12</v>
      </c>
      <c r="AC149" s="226">
        <f>SUM(AC145:AC148)</f>
        <v>226800</v>
      </c>
      <c r="AD149" s="226">
        <f>SUM(AD145:AD148)</f>
        <v>0</v>
      </c>
      <c r="AE149" s="226">
        <f>SUM(AE145:AE148)</f>
        <v>226800</v>
      </c>
      <c r="AF149" s="226">
        <f>SUM(AF145:AF148)</f>
        <v>22500</v>
      </c>
      <c r="AG149" s="226"/>
      <c r="AH149" s="226">
        <f>SUM(AH145:AH148)</f>
        <v>181000</v>
      </c>
      <c r="AI149" s="226">
        <f>SUM(AI145:AI148)</f>
        <v>20000</v>
      </c>
      <c r="AJ149" s="226">
        <f>SUM(AJ145:AJ148)</f>
        <v>201000</v>
      </c>
      <c r="AK149" s="226"/>
      <c r="AL149" s="226">
        <f>SUM(AL145:AL148)</f>
        <v>502200</v>
      </c>
      <c r="AM149" s="226">
        <f>SUM(AM145:AM148)</f>
        <v>60000</v>
      </c>
      <c r="AN149" s="226">
        <f>SUM(AN145:AN148)</f>
        <v>562200</v>
      </c>
      <c r="AO149" s="227">
        <f>SUM(AO145:AO148)</f>
        <v>0</v>
      </c>
      <c r="AP149" s="49"/>
      <c r="AQ149" s="227"/>
      <c r="AR149" s="226">
        <f>SUM(AR145:AR148)</f>
        <v>49200</v>
      </c>
      <c r="AS149" s="226">
        <f>SUM(AS145:AS148)</f>
        <v>64200</v>
      </c>
      <c r="AT149" s="226">
        <f>SUM(AT145:AT148)</f>
        <v>49200</v>
      </c>
      <c r="AU149" s="226">
        <f>SUM(AU145:AU148)</f>
        <v>64200</v>
      </c>
      <c r="AV149" s="71">
        <f>AR149+AS149+AT149+AU149</f>
        <v>226800</v>
      </c>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row>
    <row r="150" spans="1:90" x14ac:dyDescent="0.25">
      <c r="A150" s="204">
        <v>8</v>
      </c>
      <c r="B150" s="205" t="s">
        <v>292</v>
      </c>
      <c r="C150" s="205"/>
      <c r="D150" s="206"/>
      <c r="E150" s="206"/>
      <c r="F150" s="206"/>
      <c r="G150" s="206"/>
      <c r="H150" s="206"/>
      <c r="I150" s="206"/>
      <c r="J150" s="206"/>
      <c r="K150" s="206"/>
      <c r="L150" s="206"/>
      <c r="M150" s="206"/>
      <c r="N150" s="207"/>
      <c r="O150" s="206"/>
      <c r="P150" s="206"/>
      <c r="Q150" s="206"/>
      <c r="R150" s="206"/>
      <c r="S150" s="206"/>
      <c r="T150" s="207"/>
      <c r="U150" s="206"/>
      <c r="V150" s="206"/>
      <c r="W150" s="206"/>
      <c r="X150" s="206"/>
      <c r="Y150" s="206"/>
      <c r="Z150" s="207"/>
      <c r="AA150" s="206"/>
      <c r="AB150" s="206"/>
      <c r="AC150" s="206"/>
      <c r="AD150" s="206"/>
      <c r="AE150" s="206"/>
      <c r="AF150" s="206"/>
      <c r="AG150" s="206"/>
      <c r="AH150" s="206"/>
      <c r="AI150" s="206"/>
      <c r="AJ150" s="206"/>
      <c r="AK150" s="206"/>
      <c r="AL150" s="206"/>
      <c r="AM150" s="206"/>
      <c r="AN150" s="206"/>
      <c r="AO150" s="208"/>
      <c r="AP150" s="49"/>
      <c r="AQ150" s="4"/>
      <c r="AR150" s="206"/>
      <c r="AS150" s="206"/>
      <c r="AT150" s="206"/>
      <c r="AU150" s="206"/>
      <c r="AV150" s="206"/>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row>
    <row r="151" spans="1:90" ht="114.75" x14ac:dyDescent="0.25">
      <c r="A151" s="209">
        <v>8.1</v>
      </c>
      <c r="B151" s="51" t="s">
        <v>293</v>
      </c>
      <c r="C151" s="91" t="s">
        <v>294</v>
      </c>
      <c r="D151" s="125">
        <v>6000</v>
      </c>
      <c r="E151" s="125">
        <v>12</v>
      </c>
      <c r="F151" s="56">
        <f>D151*E151</f>
        <v>72000</v>
      </c>
      <c r="G151" s="125"/>
      <c r="H151" s="56">
        <f>F151+G151</f>
        <v>72000</v>
      </c>
      <c r="I151" s="56">
        <v>10</v>
      </c>
      <c r="J151" s="56">
        <v>8500</v>
      </c>
      <c r="K151" s="56">
        <f>I151*J151</f>
        <v>85000</v>
      </c>
      <c r="L151" s="56"/>
      <c r="M151" s="57">
        <f t="shared" ref="M151:M157" si="42">K151+L151</f>
        <v>85000</v>
      </c>
      <c r="N151" s="67"/>
      <c r="O151" s="56">
        <f>J151</f>
        <v>8500</v>
      </c>
      <c r="P151" s="56">
        <f>8500*3</f>
        <v>25500</v>
      </c>
      <c r="Q151" s="56">
        <f>8500*3</f>
        <v>25500</v>
      </c>
      <c r="R151" s="56">
        <f>8500*3</f>
        <v>25500</v>
      </c>
      <c r="S151" s="58">
        <f t="shared" ref="S151:S158" si="43">O151+P151+Q151+R151</f>
        <v>85000</v>
      </c>
      <c r="T151" s="67"/>
      <c r="U151" s="56">
        <v>6500</v>
      </c>
      <c r="V151" s="125">
        <v>12</v>
      </c>
      <c r="W151" s="64">
        <f>U151*V151</f>
        <v>78000</v>
      </c>
      <c r="X151" s="125"/>
      <c r="Y151" s="56">
        <f>W151+X151</f>
        <v>78000</v>
      </c>
      <c r="Z151" s="67"/>
      <c r="AA151" s="67">
        <v>8500</v>
      </c>
      <c r="AB151" s="56">
        <v>12</v>
      </c>
      <c r="AC151" s="64">
        <f t="shared" ref="AC151:AC157" si="44">AA151*AB151</f>
        <v>102000</v>
      </c>
      <c r="AD151" s="56">
        <v>18000</v>
      </c>
      <c r="AE151" s="56">
        <f t="shared" ref="AE151:AE157" si="45">AC151+AD151</f>
        <v>120000</v>
      </c>
      <c r="AF151" s="56">
        <v>7000</v>
      </c>
      <c r="AG151" s="125">
        <v>12</v>
      </c>
      <c r="AH151" s="64">
        <f>AF151*AG151</f>
        <v>84000</v>
      </c>
      <c r="AI151" s="125"/>
      <c r="AJ151" s="56">
        <f>AH151+AI151</f>
        <v>84000</v>
      </c>
      <c r="AK151" s="64">
        <f t="shared" ref="AK151:AM155" si="46">E151+V151+AG151</f>
        <v>36</v>
      </c>
      <c r="AL151" s="64">
        <f t="shared" si="46"/>
        <v>234000</v>
      </c>
      <c r="AM151" s="64">
        <f t="shared" si="46"/>
        <v>0</v>
      </c>
      <c r="AN151" s="57">
        <f>AL151+AM151</f>
        <v>234000</v>
      </c>
      <c r="AO151" s="213"/>
      <c r="AP151" s="47" t="s">
        <v>295</v>
      </c>
      <c r="AQ151" s="4">
        <f>8500*12</f>
        <v>102000</v>
      </c>
      <c r="AR151" s="49">
        <v>25500</v>
      </c>
      <c r="AS151" s="49">
        <v>25500</v>
      </c>
      <c r="AT151" s="49">
        <v>25500</v>
      </c>
      <c r="AU151" s="49">
        <v>25500</v>
      </c>
      <c r="AV151" s="71">
        <f t="shared" ref="AV151:AV158" si="47">AR151+AS151+AT151+AU151</f>
        <v>102000</v>
      </c>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row>
    <row r="152" spans="1:90" ht="25.5" x14ac:dyDescent="0.25">
      <c r="A152" s="209">
        <v>8.1999999999999993</v>
      </c>
      <c r="B152" s="51" t="s">
        <v>296</v>
      </c>
      <c r="C152" s="91" t="s">
        <v>297</v>
      </c>
      <c r="D152" s="71">
        <v>1050</v>
      </c>
      <c r="E152" s="125">
        <v>12</v>
      </c>
      <c r="F152" s="56">
        <f>D152*E152</f>
        <v>12600</v>
      </c>
      <c r="G152" s="125"/>
      <c r="H152" s="56">
        <f>F152+G152</f>
        <v>12600</v>
      </c>
      <c r="I152" s="56">
        <v>10</v>
      </c>
      <c r="J152" s="56">
        <v>1500</v>
      </c>
      <c r="K152" s="56">
        <f>I152*J152</f>
        <v>15000</v>
      </c>
      <c r="L152" s="56"/>
      <c r="M152" s="57">
        <f t="shared" si="42"/>
        <v>15000</v>
      </c>
      <c r="N152" s="67"/>
      <c r="O152" s="56">
        <f>J152</f>
        <v>1500</v>
      </c>
      <c r="P152" s="56">
        <f>1500*3</f>
        <v>4500</v>
      </c>
      <c r="Q152" s="56">
        <f>1500*3</f>
        <v>4500</v>
      </c>
      <c r="R152" s="56">
        <f>1500*3</f>
        <v>4500</v>
      </c>
      <c r="S152" s="58">
        <f t="shared" si="43"/>
        <v>15000</v>
      </c>
      <c r="T152" s="67"/>
      <c r="U152" s="137">
        <v>1200</v>
      </c>
      <c r="V152" s="125">
        <v>12</v>
      </c>
      <c r="W152" s="64">
        <f>U152*V152</f>
        <v>14400</v>
      </c>
      <c r="X152" s="125"/>
      <c r="Y152" s="56">
        <f>W152+X152</f>
        <v>14400</v>
      </c>
      <c r="Z152" s="67"/>
      <c r="AA152" s="56">
        <v>2000</v>
      </c>
      <c r="AB152" s="56">
        <v>12</v>
      </c>
      <c r="AC152" s="64">
        <f t="shared" si="44"/>
        <v>24000</v>
      </c>
      <c r="AD152" s="56"/>
      <c r="AE152" s="56">
        <f t="shared" si="45"/>
        <v>24000</v>
      </c>
      <c r="AF152" s="137">
        <v>2000</v>
      </c>
      <c r="AG152" s="125">
        <v>12</v>
      </c>
      <c r="AH152" s="64">
        <f>AF152*AG152</f>
        <v>24000</v>
      </c>
      <c r="AI152" s="125"/>
      <c r="AJ152" s="56">
        <f>AH152+AI152</f>
        <v>24000</v>
      </c>
      <c r="AK152" s="64">
        <f t="shared" si="46"/>
        <v>36</v>
      </c>
      <c r="AL152" s="64">
        <f t="shared" si="46"/>
        <v>51000</v>
      </c>
      <c r="AM152" s="64">
        <f t="shared" si="46"/>
        <v>0</v>
      </c>
      <c r="AN152" s="57">
        <f>AL152+AM152</f>
        <v>51000</v>
      </c>
      <c r="AO152" s="213"/>
      <c r="AP152" s="49"/>
      <c r="AQ152" s="4"/>
      <c r="AR152" s="49">
        <v>6000</v>
      </c>
      <c r="AS152" s="49">
        <v>6000</v>
      </c>
      <c r="AT152" s="49">
        <v>6000</v>
      </c>
      <c r="AU152" s="49">
        <v>6000</v>
      </c>
      <c r="AV152" s="71">
        <f t="shared" si="47"/>
        <v>24000</v>
      </c>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row>
    <row r="153" spans="1:90" ht="25.5" x14ac:dyDescent="0.25">
      <c r="A153" s="209">
        <v>8.3000000000000007</v>
      </c>
      <c r="B153" s="51" t="s">
        <v>298</v>
      </c>
      <c r="C153" s="91" t="s">
        <v>299</v>
      </c>
      <c r="D153" s="125">
        <v>1500</v>
      </c>
      <c r="E153" s="125">
        <v>1</v>
      </c>
      <c r="F153" s="56">
        <f>D153*E153</f>
        <v>1500</v>
      </c>
      <c r="G153" s="125"/>
      <c r="H153" s="56">
        <f>F153+G153</f>
        <v>1500</v>
      </c>
      <c r="I153" s="56">
        <v>1</v>
      </c>
      <c r="J153" s="56">
        <v>1500</v>
      </c>
      <c r="K153" s="56">
        <f>I153*J153</f>
        <v>1500</v>
      </c>
      <c r="L153" s="56"/>
      <c r="M153" s="57">
        <f t="shared" si="42"/>
        <v>1500</v>
      </c>
      <c r="N153" s="67"/>
      <c r="O153" s="56"/>
      <c r="P153" s="56"/>
      <c r="Q153" s="56">
        <v>1500</v>
      </c>
      <c r="R153" s="56"/>
      <c r="S153" s="58">
        <f t="shared" si="43"/>
        <v>1500</v>
      </c>
      <c r="T153" s="67"/>
      <c r="U153" s="56">
        <v>1500</v>
      </c>
      <c r="V153" s="125">
        <v>1</v>
      </c>
      <c r="W153" s="64">
        <f>U153*V153</f>
        <v>1500</v>
      </c>
      <c r="X153" s="125"/>
      <c r="Y153" s="56">
        <f>W153+X153</f>
        <v>1500</v>
      </c>
      <c r="Z153" s="67"/>
      <c r="AA153" s="56">
        <v>1500</v>
      </c>
      <c r="AB153" s="56">
        <v>1</v>
      </c>
      <c r="AC153" s="64">
        <f t="shared" si="44"/>
        <v>1500</v>
      </c>
      <c r="AD153" s="56"/>
      <c r="AE153" s="56">
        <f t="shared" si="45"/>
        <v>1500</v>
      </c>
      <c r="AF153" s="56">
        <v>1500</v>
      </c>
      <c r="AG153" s="125">
        <v>1</v>
      </c>
      <c r="AH153" s="64">
        <f>AF153*AG153</f>
        <v>1500</v>
      </c>
      <c r="AI153" s="125"/>
      <c r="AJ153" s="56">
        <f>AH153+AI153</f>
        <v>1500</v>
      </c>
      <c r="AK153" s="64">
        <f t="shared" si="46"/>
        <v>3</v>
      </c>
      <c r="AL153" s="64">
        <f t="shared" si="46"/>
        <v>4500</v>
      </c>
      <c r="AM153" s="64">
        <f t="shared" si="46"/>
        <v>0</v>
      </c>
      <c r="AN153" s="57">
        <f>AL153+AM153</f>
        <v>4500</v>
      </c>
      <c r="AO153" s="213"/>
      <c r="AP153" s="49"/>
      <c r="AQ153" s="4"/>
      <c r="AR153" s="49">
        <v>1500</v>
      </c>
      <c r="AS153" s="49"/>
      <c r="AT153" s="49"/>
      <c r="AU153" s="49"/>
      <c r="AV153" s="71">
        <f t="shared" si="47"/>
        <v>1500</v>
      </c>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row>
    <row r="154" spans="1:90" x14ac:dyDescent="0.25">
      <c r="A154" s="209">
        <v>8.4</v>
      </c>
      <c r="B154" s="51" t="s">
        <v>300</v>
      </c>
      <c r="C154" s="91" t="s">
        <v>301</v>
      </c>
      <c r="D154" s="71">
        <v>8000</v>
      </c>
      <c r="E154" s="125">
        <v>1</v>
      </c>
      <c r="F154" s="56">
        <f>D154*E154</f>
        <v>8000</v>
      </c>
      <c r="G154" s="125"/>
      <c r="H154" s="56">
        <f>F154+G154</f>
        <v>8000</v>
      </c>
      <c r="I154" s="56">
        <v>1</v>
      </c>
      <c r="J154" s="56">
        <v>12000</v>
      </c>
      <c r="K154" s="56">
        <f>I154*J154</f>
        <v>12000</v>
      </c>
      <c r="L154" s="56"/>
      <c r="M154" s="57">
        <f t="shared" si="42"/>
        <v>12000</v>
      </c>
      <c r="N154" s="67"/>
      <c r="O154" s="56"/>
      <c r="P154" s="56"/>
      <c r="Q154" s="56"/>
      <c r="R154" s="56">
        <f>K154</f>
        <v>12000</v>
      </c>
      <c r="S154" s="58">
        <f t="shared" si="43"/>
        <v>12000</v>
      </c>
      <c r="T154" s="67"/>
      <c r="U154" s="137">
        <v>8000</v>
      </c>
      <c r="V154" s="125">
        <v>1</v>
      </c>
      <c r="W154" s="64">
        <f>U154*V154</f>
        <v>8000</v>
      </c>
      <c r="X154" s="125"/>
      <c r="Y154" s="56">
        <f>W154+X154</f>
        <v>8000</v>
      </c>
      <c r="Z154" s="67"/>
      <c r="AA154" s="56">
        <v>12000</v>
      </c>
      <c r="AB154" s="56">
        <v>1</v>
      </c>
      <c r="AC154" s="64">
        <f t="shared" si="44"/>
        <v>12000</v>
      </c>
      <c r="AD154" s="56"/>
      <c r="AE154" s="56">
        <f t="shared" si="45"/>
        <v>12000</v>
      </c>
      <c r="AF154" s="137">
        <v>8000</v>
      </c>
      <c r="AG154" s="125">
        <v>1</v>
      </c>
      <c r="AH154" s="64">
        <f>AF154*AG154</f>
        <v>8000</v>
      </c>
      <c r="AI154" s="125"/>
      <c r="AJ154" s="56">
        <f>AH154+AI154</f>
        <v>8000</v>
      </c>
      <c r="AK154" s="64">
        <f t="shared" si="46"/>
        <v>3</v>
      </c>
      <c r="AL154" s="64">
        <f t="shared" si="46"/>
        <v>24000</v>
      </c>
      <c r="AM154" s="64">
        <f t="shared" si="46"/>
        <v>0</v>
      </c>
      <c r="AN154" s="57">
        <f>AL154+AM154</f>
        <v>24000</v>
      </c>
      <c r="AO154" s="213"/>
      <c r="AP154" s="49"/>
      <c r="AQ154" s="4"/>
      <c r="AR154" s="49"/>
      <c r="AS154" s="49"/>
      <c r="AT154" s="49"/>
      <c r="AU154" s="49">
        <v>12000</v>
      </c>
      <c r="AV154" s="71">
        <f t="shared" si="47"/>
        <v>12000</v>
      </c>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row>
    <row r="155" spans="1:90" ht="15.75" customHeight="1" x14ac:dyDescent="0.25">
      <c r="A155" s="209">
        <v>8.5</v>
      </c>
      <c r="B155" s="51" t="s">
        <v>302</v>
      </c>
      <c r="C155" s="91" t="s">
        <v>303</v>
      </c>
      <c r="D155" s="125">
        <v>8000</v>
      </c>
      <c r="E155" s="125">
        <v>1</v>
      </c>
      <c r="F155" s="56">
        <f>D155*E155</f>
        <v>8000</v>
      </c>
      <c r="G155" s="125"/>
      <c r="H155" s="56">
        <f>F155+G155</f>
        <v>8000</v>
      </c>
      <c r="I155" s="56">
        <v>1</v>
      </c>
      <c r="J155" s="56">
        <v>8000</v>
      </c>
      <c r="K155" s="56">
        <f>I155*J155</f>
        <v>8000</v>
      </c>
      <c r="L155" s="56"/>
      <c r="M155" s="57">
        <f t="shared" si="42"/>
        <v>8000</v>
      </c>
      <c r="N155" s="67"/>
      <c r="O155" s="56">
        <f>K155</f>
        <v>8000</v>
      </c>
      <c r="P155" s="56"/>
      <c r="Q155" s="56"/>
      <c r="R155" s="56"/>
      <c r="S155" s="58">
        <f t="shared" si="43"/>
        <v>8000</v>
      </c>
      <c r="T155" s="67"/>
      <c r="U155" s="56">
        <v>8000</v>
      </c>
      <c r="V155" s="125">
        <v>1</v>
      </c>
      <c r="W155" s="64">
        <f>U155*V155</f>
        <v>8000</v>
      </c>
      <c r="X155" s="125"/>
      <c r="Y155" s="56">
        <f>W155+X155</f>
        <v>8000</v>
      </c>
      <c r="Z155" s="67"/>
      <c r="AA155" s="56">
        <v>8000</v>
      </c>
      <c r="AB155" s="56">
        <v>1</v>
      </c>
      <c r="AC155" s="64">
        <f t="shared" si="44"/>
        <v>8000</v>
      </c>
      <c r="AD155" s="56"/>
      <c r="AE155" s="56">
        <f t="shared" si="45"/>
        <v>8000</v>
      </c>
      <c r="AF155" s="56">
        <v>10000</v>
      </c>
      <c r="AG155" s="125">
        <v>1</v>
      </c>
      <c r="AH155" s="64">
        <f>AF155*AG155</f>
        <v>10000</v>
      </c>
      <c r="AI155" s="125"/>
      <c r="AJ155" s="56">
        <f>AH155+AI155</f>
        <v>10000</v>
      </c>
      <c r="AK155" s="64">
        <f t="shared" si="46"/>
        <v>3</v>
      </c>
      <c r="AL155" s="64">
        <f t="shared" si="46"/>
        <v>26000</v>
      </c>
      <c r="AM155" s="64">
        <f t="shared" si="46"/>
        <v>0</v>
      </c>
      <c r="AN155" s="57">
        <f>AL155+AM155</f>
        <v>26000</v>
      </c>
      <c r="AO155" s="213"/>
      <c r="AP155" s="49"/>
      <c r="AQ155" s="4"/>
      <c r="AR155" s="49">
        <v>4000</v>
      </c>
      <c r="AS155" s="49"/>
      <c r="AT155" s="49">
        <v>4000</v>
      </c>
      <c r="AU155" s="49"/>
      <c r="AV155" s="71">
        <f t="shared" si="47"/>
        <v>8000</v>
      </c>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row>
    <row r="156" spans="1:90" ht="15.75" hidden="1" customHeight="1" x14ac:dyDescent="0.25">
      <c r="A156" s="209">
        <v>8.6</v>
      </c>
      <c r="B156" s="51" t="s">
        <v>304</v>
      </c>
      <c r="C156" s="91" t="s">
        <v>305</v>
      </c>
      <c r="D156" s="125">
        <v>0</v>
      </c>
      <c r="E156" s="125">
        <v>0</v>
      </c>
      <c r="F156" s="56">
        <v>0</v>
      </c>
      <c r="G156" s="125">
        <v>0</v>
      </c>
      <c r="H156" s="56">
        <v>0</v>
      </c>
      <c r="I156" s="56">
        <v>1</v>
      </c>
      <c r="J156" s="56">
        <v>16950</v>
      </c>
      <c r="K156" s="56">
        <f>J156</f>
        <v>16950</v>
      </c>
      <c r="L156" s="56"/>
      <c r="M156" s="57">
        <f t="shared" si="42"/>
        <v>16950</v>
      </c>
      <c r="N156" s="67"/>
      <c r="O156" s="56"/>
      <c r="P156" s="56">
        <f>K156</f>
        <v>16950</v>
      </c>
      <c r="Q156" s="56"/>
      <c r="R156" s="56"/>
      <c r="S156" s="58">
        <f t="shared" si="43"/>
        <v>16950</v>
      </c>
      <c r="T156" s="67"/>
      <c r="U156" s="56"/>
      <c r="V156" s="125"/>
      <c r="W156" s="64"/>
      <c r="X156" s="125"/>
      <c r="Y156" s="56"/>
      <c r="Z156" s="67"/>
      <c r="AA156" s="56"/>
      <c r="AB156" s="56"/>
      <c r="AC156" s="64">
        <f t="shared" si="44"/>
        <v>0</v>
      </c>
      <c r="AD156" s="56"/>
      <c r="AE156" s="56">
        <f t="shared" si="45"/>
        <v>0</v>
      </c>
      <c r="AF156" s="56"/>
      <c r="AG156" s="125"/>
      <c r="AH156" s="64"/>
      <c r="AI156" s="125"/>
      <c r="AJ156" s="56"/>
      <c r="AK156" s="64"/>
      <c r="AL156" s="64"/>
      <c r="AM156" s="64"/>
      <c r="AN156" s="57"/>
      <c r="AO156" s="213"/>
      <c r="AP156" s="49"/>
      <c r="AQ156" s="4"/>
      <c r="AR156" s="49"/>
      <c r="AS156" s="49"/>
      <c r="AT156" s="49"/>
      <c r="AU156" s="49"/>
      <c r="AV156" s="71">
        <f t="shared" si="47"/>
        <v>0</v>
      </c>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row>
    <row r="157" spans="1:90" hidden="1" x14ac:dyDescent="0.25">
      <c r="A157" s="209">
        <v>8.6999999999999993</v>
      </c>
      <c r="B157" s="51" t="s">
        <v>306</v>
      </c>
      <c r="C157" s="91" t="s">
        <v>305</v>
      </c>
      <c r="D157" s="125">
        <v>0</v>
      </c>
      <c r="E157" s="125">
        <v>0</v>
      </c>
      <c r="F157" s="56">
        <v>0</v>
      </c>
      <c r="G157" s="125">
        <v>0</v>
      </c>
      <c r="H157" s="56">
        <v>0</v>
      </c>
      <c r="I157" s="56">
        <v>1</v>
      </c>
      <c r="J157" s="56">
        <v>8000</v>
      </c>
      <c r="K157" s="56">
        <f>I157*J157</f>
        <v>8000</v>
      </c>
      <c r="L157" s="56"/>
      <c r="M157" s="57">
        <f t="shared" si="42"/>
        <v>8000</v>
      </c>
      <c r="N157" s="67"/>
      <c r="O157" s="56"/>
      <c r="P157" s="56">
        <v>8000</v>
      </c>
      <c r="Q157" s="56"/>
      <c r="R157" s="56"/>
      <c r="S157" s="58">
        <f t="shared" si="43"/>
        <v>8000</v>
      </c>
      <c r="T157" s="67"/>
      <c r="U157" s="56"/>
      <c r="V157" s="125"/>
      <c r="W157" s="64"/>
      <c r="X157" s="125"/>
      <c r="Y157" s="56"/>
      <c r="Z157" s="67"/>
      <c r="AA157" s="56"/>
      <c r="AB157" s="56"/>
      <c r="AC157" s="64">
        <f t="shared" si="44"/>
        <v>0</v>
      </c>
      <c r="AD157" s="56"/>
      <c r="AE157" s="56">
        <f t="shared" si="45"/>
        <v>0</v>
      </c>
      <c r="AF157" s="56"/>
      <c r="AG157" s="125"/>
      <c r="AH157" s="64"/>
      <c r="AI157" s="125"/>
      <c r="AJ157" s="56"/>
      <c r="AK157" s="64"/>
      <c r="AL157" s="64"/>
      <c r="AM157" s="64"/>
      <c r="AN157" s="57"/>
      <c r="AO157" s="213"/>
      <c r="AP157" s="49"/>
      <c r="AQ157" s="4"/>
      <c r="AR157" s="49"/>
      <c r="AS157" s="49"/>
      <c r="AT157" s="49"/>
      <c r="AU157" s="49"/>
      <c r="AV157" s="71">
        <f t="shared" si="47"/>
        <v>0</v>
      </c>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row>
    <row r="158" spans="1:90" x14ac:dyDescent="0.25">
      <c r="A158" s="229"/>
      <c r="B158" s="230" t="s">
        <v>307</v>
      </c>
      <c r="C158" s="230"/>
      <c r="D158" s="231">
        <f>SUM(D151:D157)</f>
        <v>24550</v>
      </c>
      <c r="E158" s="231"/>
      <c r="F158" s="231">
        <f>SUM(F151:F156)</f>
        <v>102100</v>
      </c>
      <c r="G158" s="231">
        <f>SUM(G151:G155)</f>
        <v>0</v>
      </c>
      <c r="H158" s="231">
        <f>SUM(H151:H156)</f>
        <v>102100</v>
      </c>
      <c r="I158" s="231"/>
      <c r="J158" s="231"/>
      <c r="K158" s="231">
        <f>SUM(K151:K157)</f>
        <v>146450</v>
      </c>
      <c r="L158" s="231">
        <f>SUM(L151:L155)</f>
        <v>0</v>
      </c>
      <c r="M158" s="231">
        <f>SUM(M151:M157)</f>
        <v>146450</v>
      </c>
      <c r="N158" s="231"/>
      <c r="O158" s="231">
        <f>SUM(O151:O157)</f>
        <v>18000</v>
      </c>
      <c r="P158" s="231">
        <f>SUM(P151:P157)</f>
        <v>54950</v>
      </c>
      <c r="Q158" s="231">
        <f>SUM(Q151:Q157)</f>
        <v>31500</v>
      </c>
      <c r="R158" s="231">
        <f>SUM(R151:R157)</f>
        <v>42000</v>
      </c>
      <c r="S158" s="232">
        <f t="shared" si="43"/>
        <v>146450</v>
      </c>
      <c r="T158" s="231"/>
      <c r="U158" s="231">
        <f>SUM(U151:U155)</f>
        <v>25200</v>
      </c>
      <c r="V158" s="231"/>
      <c r="W158" s="231">
        <f>SUM(W151:W155)</f>
        <v>109900</v>
      </c>
      <c r="X158" s="231">
        <f>SUM(X151:X155)</f>
        <v>0</v>
      </c>
      <c r="Y158" s="231">
        <f>SUM(Y151:Y155)</f>
        <v>109900</v>
      </c>
      <c r="Z158" s="100"/>
      <c r="AA158" s="231">
        <f>SUM(AA151:AA155)</f>
        <v>32000</v>
      </c>
      <c r="AB158" s="231"/>
      <c r="AC158" s="231">
        <f>SUM(AC151:AC155)</f>
        <v>147500</v>
      </c>
      <c r="AD158" s="231">
        <f>SUM(AD151:AD155)</f>
        <v>18000</v>
      </c>
      <c r="AE158" s="231">
        <f>SUM(AE151:AE155)</f>
        <v>165500</v>
      </c>
      <c r="AF158" s="231">
        <f>SUM(AF151:AF155)</f>
        <v>28500</v>
      </c>
      <c r="AG158" s="231"/>
      <c r="AH158" s="231">
        <f>SUM(AH151:AH155)</f>
        <v>127500</v>
      </c>
      <c r="AI158" s="231">
        <f>SUM(AI151:AI155)</f>
        <v>0</v>
      </c>
      <c r="AJ158" s="231">
        <f>SUM(AJ151:AJ155)</f>
        <v>127500</v>
      </c>
      <c r="AK158" s="231"/>
      <c r="AL158" s="231">
        <f>SUM(AL151:AL155)</f>
        <v>339500</v>
      </c>
      <c r="AM158" s="231">
        <f>SUM(AM151:AM155)</f>
        <v>0</v>
      </c>
      <c r="AN158" s="231">
        <f>SUM(AN151:AN155)</f>
        <v>339500</v>
      </c>
      <c r="AO158" s="233">
        <f>SUM(AO151:AO155)</f>
        <v>0</v>
      </c>
      <c r="AP158" s="234"/>
      <c r="AQ158" s="235"/>
      <c r="AR158" s="231">
        <f>SUM(AR151:AR155)</f>
        <v>37000</v>
      </c>
      <c r="AS158" s="231">
        <f>SUM(AS151:AS155)</f>
        <v>31500</v>
      </c>
      <c r="AT158" s="231">
        <f>SUM(AT151:AT155)</f>
        <v>35500</v>
      </c>
      <c r="AU158" s="231">
        <f>SUM(AU151:AU155)</f>
        <v>43500</v>
      </c>
      <c r="AV158" s="71">
        <f t="shared" si="47"/>
        <v>147500</v>
      </c>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row>
    <row r="159" spans="1:90" x14ac:dyDescent="0.25">
      <c r="A159" s="236"/>
      <c r="B159" s="237"/>
      <c r="C159" s="237"/>
      <c r="D159" s="238"/>
      <c r="E159" s="238"/>
      <c r="F159" s="56"/>
      <c r="G159" s="238"/>
      <c r="H159" s="56">
        <f>F159+G159</f>
        <v>0</v>
      </c>
      <c r="I159" s="239"/>
      <c r="J159" s="239"/>
      <c r="K159" s="239"/>
      <c r="L159" s="239"/>
      <c r="M159" s="239"/>
      <c r="N159" s="240"/>
      <c r="O159" s="239"/>
      <c r="P159" s="239"/>
      <c r="Q159" s="239"/>
      <c r="R159" s="239"/>
      <c r="S159" s="239"/>
      <c r="T159" s="240"/>
      <c r="U159" s="238"/>
      <c r="V159" s="238"/>
      <c r="W159" s="64">
        <f>U159*V159</f>
        <v>0</v>
      </c>
      <c r="X159" s="238"/>
      <c r="Y159" s="56">
        <f>W159+X159</f>
        <v>0</v>
      </c>
      <c r="Z159" s="240"/>
      <c r="AA159" s="239"/>
      <c r="AB159" s="239"/>
      <c r="AC159" s="239"/>
      <c r="AD159" s="239"/>
      <c r="AE159" s="239"/>
      <c r="AF159" s="238"/>
      <c r="AG159" s="238"/>
      <c r="AH159" s="64">
        <f>AF159*AG159</f>
        <v>0</v>
      </c>
      <c r="AI159" s="238"/>
      <c r="AJ159" s="56">
        <f>AH159+AI159</f>
        <v>0</v>
      </c>
      <c r="AK159" s="64">
        <f>E159+V159+AG159</f>
        <v>0</v>
      </c>
      <c r="AL159" s="64">
        <f>F159+W159+AH159</f>
        <v>0</v>
      </c>
      <c r="AM159" s="64">
        <f>G159+X159+AI159</f>
        <v>0</v>
      </c>
      <c r="AN159" s="57">
        <f>AL159+AM159</f>
        <v>0</v>
      </c>
      <c r="AO159" s="238"/>
      <c r="AP159" s="49"/>
      <c r="AQ159" s="4"/>
      <c r="AR159" s="49"/>
      <c r="AS159" s="49"/>
      <c r="AT159" s="49"/>
      <c r="AU159" s="49"/>
      <c r="AV159" s="49"/>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row>
    <row r="160" spans="1:90" x14ac:dyDescent="0.25">
      <c r="A160" s="241"/>
      <c r="B160" s="242" t="s">
        <v>308</v>
      </c>
      <c r="C160" s="243"/>
      <c r="D160" s="58"/>
      <c r="E160" s="58"/>
      <c r="F160" s="58">
        <f>SUM(F158+F149+F143+F136+F133)</f>
        <v>2452000</v>
      </c>
      <c r="G160" s="58">
        <f>SUM(G158+G149+G143+G136+G133)</f>
        <v>346250</v>
      </c>
      <c r="H160" s="58">
        <f>SUM(H158+H149+H143+H136+H133)</f>
        <v>2798250</v>
      </c>
      <c r="I160" s="58"/>
      <c r="J160" s="58"/>
      <c r="K160" s="58">
        <f>SUM(K158+K149+K143+K136+K133)</f>
        <v>2499999.8200000003</v>
      </c>
      <c r="L160" s="58">
        <f>SUM(L158+L149+L143+L136+L133)</f>
        <v>190000</v>
      </c>
      <c r="M160" s="58">
        <f>SUM(M158+M149+M143+M136+M133)</f>
        <v>2689999.8200000003</v>
      </c>
      <c r="N160" s="142"/>
      <c r="O160" s="58">
        <f>SUM(O158+O149+O143+O136+O133)</f>
        <v>246025</v>
      </c>
      <c r="P160" s="58">
        <f>SUM(P158+P149+P143+P136+P133)</f>
        <v>610414.82000000007</v>
      </c>
      <c r="Q160" s="58">
        <f>SUM(Q158+Q149+Q143+Q136+Q133)</f>
        <v>1046505</v>
      </c>
      <c r="R160" s="58">
        <f>SUM(R158+R149+R143+R136+R133)</f>
        <v>597055</v>
      </c>
      <c r="S160" s="58">
        <f>O160+P160+Q160+R160</f>
        <v>2499999.8200000003</v>
      </c>
      <c r="T160" s="142"/>
      <c r="U160" s="58"/>
      <c r="V160" s="58"/>
      <c r="W160" s="58">
        <f>SUM(W158+W149+W143+W136+W133)</f>
        <v>2352000</v>
      </c>
      <c r="X160" s="58">
        <f>SUM(X158+X149+X143+X136+X133)</f>
        <v>374750</v>
      </c>
      <c r="Y160" s="58">
        <f>SUM(Y158+Y149+Y143+Y136+Y133)</f>
        <v>2726750</v>
      </c>
      <c r="Z160" s="142"/>
      <c r="AA160" s="58"/>
      <c r="AB160" s="58"/>
      <c r="AC160" s="58">
        <f>SUM(AC158+AC149+AC143+AC136+AC133)</f>
        <v>2675000</v>
      </c>
      <c r="AD160" s="58">
        <f>SUM(AD158+AD149+AD143+AD136+AD133)</f>
        <v>242500</v>
      </c>
      <c r="AE160" s="58">
        <f>SUM(AE158+AE149+AE143+AE136+AE133)</f>
        <v>2917500</v>
      </c>
      <c r="AF160" s="58"/>
      <c r="AG160" s="58"/>
      <c r="AH160" s="58">
        <f>SUM(AH158+AH149+AH143+AH136+AH133)</f>
        <v>2152000</v>
      </c>
      <c r="AI160" s="58">
        <f>SUM(AI158+AI149+AI143+AI136+AI133)</f>
        <v>56000</v>
      </c>
      <c r="AJ160" s="58">
        <f>SUM(AJ158+AJ149+AJ143+AJ136+AJ133)</f>
        <v>2208000</v>
      </c>
      <c r="AK160" s="58"/>
      <c r="AL160" s="58">
        <f>SUM(AL158+AL149+AL143+AL136+AL133)</f>
        <v>6956000</v>
      </c>
      <c r="AM160" s="58">
        <f>SUM(AM158+AM149+AM143+AM136+AM133)</f>
        <v>762000</v>
      </c>
      <c r="AN160" s="58">
        <f>SUM(AN158+AN149+AN143+AN136+AN133)</f>
        <v>7718000</v>
      </c>
      <c r="AO160" s="244">
        <f>SUM(AO158+AO149+AO143+AO136+AO133)</f>
        <v>0</v>
      </c>
      <c r="AP160" s="49"/>
      <c r="AQ160" s="244"/>
      <c r="AR160" s="245">
        <f>SUM(AR158+AR149+AR143+AR136+AR133)</f>
        <v>579710</v>
      </c>
      <c r="AS160" s="245">
        <f>SUM(AS158+AS149+AS143+AS136+AS133)</f>
        <v>801130</v>
      </c>
      <c r="AT160" s="245">
        <f>SUM(AT158+AT149+AT143+AT136+AT133)</f>
        <v>556590</v>
      </c>
      <c r="AU160" s="245">
        <f>SUM(AU158+AU149+AU143+AU136+AU133)</f>
        <v>737570</v>
      </c>
      <c r="AV160" s="246">
        <f>AR160+AS160+AT160+AU160</f>
        <v>2675000</v>
      </c>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row>
    <row r="161" spans="1:90" x14ac:dyDescent="0.25">
      <c r="A161" s="247"/>
      <c r="B161" s="248"/>
      <c r="C161" s="248"/>
      <c r="D161" s="249"/>
      <c r="E161" s="249"/>
      <c r="F161" s="249"/>
      <c r="G161" s="249"/>
      <c r="H161" s="250"/>
      <c r="I161" s="250"/>
      <c r="J161" s="250"/>
      <c r="K161" s="250"/>
      <c r="L161" s="250"/>
      <c r="M161" s="250"/>
      <c r="N161" s="251"/>
      <c r="O161" s="250"/>
      <c r="P161" s="250"/>
      <c r="Q161" s="250"/>
      <c r="R161" s="250"/>
      <c r="S161" s="250"/>
      <c r="T161" s="251"/>
      <c r="U161" s="250"/>
      <c r="V161" s="249"/>
      <c r="W161" s="249"/>
      <c r="X161" s="249"/>
      <c r="Y161" s="250"/>
      <c r="Z161" s="251"/>
      <c r="AA161" s="250"/>
      <c r="AB161" s="250"/>
      <c r="AC161" s="250"/>
      <c r="AD161" s="250"/>
      <c r="AE161" s="250"/>
      <c r="AF161" s="250"/>
      <c r="AG161" s="249"/>
      <c r="AH161" s="249"/>
      <c r="AI161" s="249"/>
      <c r="AJ161" s="250"/>
      <c r="AK161" s="249"/>
      <c r="AL161" s="249"/>
      <c r="AM161" s="249"/>
      <c r="AN161" s="250"/>
      <c r="AO161" s="252"/>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row>
    <row r="162" spans="1:90" x14ac:dyDescent="0.25">
      <c r="A162" s="253"/>
      <c r="B162" s="254"/>
      <c r="C162" s="254"/>
      <c r="D162" s="254"/>
      <c r="E162" s="254"/>
      <c r="F162" s="254"/>
      <c r="G162" s="254"/>
      <c r="H162" s="255"/>
      <c r="I162" s="255"/>
      <c r="J162" s="255"/>
      <c r="K162" s="255"/>
      <c r="L162" s="255"/>
      <c r="M162" s="255"/>
      <c r="N162" s="256"/>
      <c r="O162" s="255"/>
      <c r="P162" s="255"/>
      <c r="Q162" s="255"/>
      <c r="R162" s="255"/>
      <c r="S162" s="255"/>
      <c r="T162" s="256"/>
      <c r="U162" s="255"/>
      <c r="V162" s="254"/>
      <c r="W162" s="254"/>
      <c r="X162" s="254"/>
      <c r="Y162" s="255"/>
      <c r="Z162" s="256"/>
      <c r="AA162" s="255"/>
      <c r="AB162" s="255"/>
      <c r="AC162" s="255"/>
      <c r="AD162" s="255"/>
      <c r="AE162" s="255"/>
      <c r="AF162" s="255"/>
      <c r="AG162" s="254"/>
      <c r="AH162" s="254"/>
      <c r="AI162" s="254"/>
      <c r="AJ162" s="255"/>
      <c r="AK162" s="254"/>
      <c r="AL162" s="254"/>
      <c r="AM162" s="254"/>
      <c r="AN162" s="255"/>
      <c r="AO162" s="257"/>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row>
    <row r="163" spans="1:90" x14ac:dyDescent="0.25">
      <c r="A163" s="253"/>
      <c r="B163" s="254"/>
      <c r="C163" s="254"/>
      <c r="D163" s="254"/>
      <c r="E163" s="254"/>
      <c r="F163" s="254"/>
      <c r="G163" s="254"/>
      <c r="H163" s="255"/>
      <c r="I163" s="255"/>
      <c r="J163" s="255"/>
      <c r="K163" s="255"/>
      <c r="L163" s="255"/>
      <c r="M163" s="255"/>
      <c r="N163" s="256"/>
      <c r="O163" s="255"/>
      <c r="P163" s="255"/>
      <c r="Q163" s="255"/>
      <c r="R163" s="255"/>
      <c r="S163" s="255"/>
      <c r="T163" s="256"/>
      <c r="U163" s="255"/>
      <c r="V163" s="254"/>
      <c r="W163" s="254"/>
      <c r="X163" s="254"/>
      <c r="Y163" s="255"/>
      <c r="Z163" s="256"/>
      <c r="AA163" s="255"/>
      <c r="AB163" s="255"/>
      <c r="AC163" s="255"/>
      <c r="AD163" s="255"/>
      <c r="AE163" s="255"/>
      <c r="AF163" s="255"/>
      <c r="AG163" s="254"/>
      <c r="AH163" s="254"/>
      <c r="AI163" s="254"/>
      <c r="AJ163" s="255"/>
      <c r="AK163" s="254"/>
      <c r="AL163" s="254"/>
      <c r="AM163" s="254"/>
      <c r="AN163" s="255"/>
      <c r="AO163" s="257"/>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row>
    <row r="164" spans="1:90" x14ac:dyDescent="0.25">
      <c r="A164" s="258"/>
      <c r="B164" s="259"/>
      <c r="C164" s="259"/>
      <c r="D164" s="259"/>
      <c r="E164" s="259"/>
      <c r="F164" s="259"/>
      <c r="G164" s="259"/>
      <c r="H164" s="255"/>
      <c r="I164" s="255"/>
      <c r="J164" s="255"/>
      <c r="K164" s="255"/>
      <c r="L164" s="255"/>
      <c r="M164" s="255"/>
      <c r="N164" s="256"/>
      <c r="O164" s="255"/>
      <c r="P164" s="255"/>
      <c r="Q164" s="255"/>
      <c r="R164" s="255"/>
      <c r="S164" s="255"/>
      <c r="T164" s="256"/>
      <c r="U164" s="255"/>
      <c r="V164" s="259"/>
      <c r="W164" s="259"/>
      <c r="X164" s="259"/>
      <c r="Y164" s="255"/>
      <c r="Z164" s="256"/>
      <c r="AA164" s="255"/>
      <c r="AB164" s="255"/>
      <c r="AC164" s="255"/>
      <c r="AD164" s="255"/>
      <c r="AE164" s="255"/>
      <c r="AF164" s="255"/>
      <c r="AG164" s="259"/>
      <c r="AH164" s="259"/>
      <c r="AI164" s="259"/>
      <c r="AJ164" s="255"/>
      <c r="AK164" s="259"/>
      <c r="AL164" s="259"/>
      <c r="AM164" s="259"/>
      <c r="AN164" s="255"/>
      <c r="AO164" s="257"/>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row>
    <row r="165" spans="1:90" x14ac:dyDescent="0.25">
      <c r="A165" s="260"/>
      <c r="B165" s="261"/>
      <c r="C165" s="261"/>
      <c r="D165" s="262"/>
      <c r="E165" s="262"/>
      <c r="F165" s="262"/>
      <c r="G165" s="262"/>
      <c r="H165" s="255"/>
      <c r="I165" s="255"/>
      <c r="J165" s="255"/>
      <c r="K165" s="255"/>
      <c r="L165" s="255"/>
      <c r="M165" s="255"/>
      <c r="N165" s="256"/>
      <c r="O165" s="255"/>
      <c r="P165" s="255"/>
      <c r="Q165" s="255"/>
      <c r="R165" s="255"/>
      <c r="S165" s="255"/>
      <c r="T165" s="256"/>
      <c r="U165" s="255"/>
      <c r="V165" s="262"/>
      <c r="W165" s="262"/>
      <c r="X165" s="262"/>
      <c r="Y165" s="255"/>
      <c r="Z165" s="256"/>
      <c r="AA165" s="255"/>
      <c r="AB165" s="255"/>
      <c r="AC165" s="255"/>
      <c r="AD165" s="255"/>
      <c r="AE165" s="255"/>
      <c r="AF165" s="255"/>
      <c r="AG165" s="262"/>
      <c r="AH165" s="262"/>
      <c r="AI165" s="262"/>
      <c r="AJ165" s="255"/>
      <c r="AK165" s="262"/>
      <c r="AL165" s="262"/>
      <c r="AM165" s="262"/>
      <c r="AN165" s="255"/>
      <c r="AO165" s="257"/>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row>
    <row r="166" spans="1:90" x14ac:dyDescent="0.25">
      <c r="A166" s="263"/>
      <c r="B166" s="254"/>
      <c r="C166" s="254"/>
      <c r="D166" s="264"/>
      <c r="E166" s="264"/>
      <c r="F166" s="264"/>
      <c r="G166" s="264"/>
      <c r="H166" s="255"/>
      <c r="I166" s="255"/>
      <c r="J166" s="255"/>
      <c r="K166" s="255"/>
      <c r="L166" s="255"/>
      <c r="M166" s="255"/>
      <c r="N166" s="256"/>
      <c r="O166" s="255"/>
      <c r="P166" s="255"/>
      <c r="Q166" s="255"/>
      <c r="R166" s="255"/>
      <c r="S166" s="255"/>
      <c r="T166" s="256"/>
      <c r="U166" s="255"/>
      <c r="V166" s="264"/>
      <c r="W166" s="264"/>
      <c r="X166" s="264"/>
      <c r="Y166" s="255"/>
      <c r="Z166" s="256"/>
      <c r="AA166" s="255"/>
      <c r="AB166" s="255"/>
      <c r="AC166" s="255"/>
      <c r="AD166" s="255"/>
      <c r="AE166" s="255"/>
      <c r="AF166" s="255"/>
      <c r="AG166" s="264"/>
      <c r="AH166" s="264"/>
      <c r="AI166" s="264"/>
      <c r="AJ166" s="255"/>
      <c r="AK166" s="264"/>
      <c r="AL166" s="264"/>
      <c r="AM166" s="264"/>
      <c r="AN166" s="255"/>
      <c r="AO166" s="257"/>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row>
    <row r="167" spans="1:90" x14ac:dyDescent="0.25">
      <c r="A167" s="263"/>
      <c r="B167" s="254"/>
      <c r="C167" s="254"/>
      <c r="D167" s="264"/>
      <c r="E167" s="264"/>
      <c r="F167" s="264"/>
      <c r="G167" s="264"/>
      <c r="H167" s="255"/>
      <c r="I167" s="255"/>
      <c r="J167" s="255"/>
      <c r="K167" s="255"/>
      <c r="L167" s="255"/>
      <c r="M167" s="255"/>
      <c r="N167" s="256"/>
      <c r="O167" s="255"/>
      <c r="P167" s="255"/>
      <c r="Q167" s="255"/>
      <c r="R167" s="255"/>
      <c r="S167" s="255"/>
      <c r="T167" s="256"/>
      <c r="U167" s="255"/>
      <c r="V167" s="264"/>
      <c r="W167" s="264"/>
      <c r="X167" s="264"/>
      <c r="Y167" s="255"/>
      <c r="Z167" s="256"/>
      <c r="AA167" s="255"/>
      <c r="AB167" s="255"/>
      <c r="AC167" s="255"/>
      <c r="AD167" s="255"/>
      <c r="AE167" s="255"/>
      <c r="AF167" s="255"/>
      <c r="AG167" s="264"/>
      <c r="AH167" s="264"/>
      <c r="AI167" s="264"/>
      <c r="AJ167" s="255"/>
      <c r="AK167" s="264"/>
      <c r="AL167" s="264"/>
      <c r="AM167" s="264"/>
      <c r="AN167" s="255"/>
      <c r="AO167" s="257"/>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row>
    <row r="168" spans="1:90" x14ac:dyDescent="0.25">
      <c r="A168" s="263"/>
      <c r="B168" s="254"/>
      <c r="C168" s="254"/>
      <c r="D168" s="264"/>
      <c r="E168" s="264"/>
      <c r="F168" s="264"/>
      <c r="G168" s="264"/>
      <c r="H168" s="255"/>
      <c r="I168" s="255"/>
      <c r="J168" s="255"/>
      <c r="K168" s="255"/>
      <c r="L168" s="255"/>
      <c r="M168" s="255"/>
      <c r="N168" s="256"/>
      <c r="O168" s="255"/>
      <c r="P168" s="255"/>
      <c r="Q168" s="255"/>
      <c r="R168" s="255"/>
      <c r="S168" s="255"/>
      <c r="T168" s="256"/>
      <c r="U168" s="255"/>
      <c r="V168" s="264"/>
      <c r="W168" s="264"/>
      <c r="X168" s="264"/>
      <c r="Y168" s="255"/>
      <c r="Z168" s="256"/>
      <c r="AA168" s="255"/>
      <c r="AB168" s="255"/>
      <c r="AC168" s="255"/>
      <c r="AD168" s="255"/>
      <c r="AE168" s="255"/>
      <c r="AF168" s="255"/>
      <c r="AG168" s="264"/>
      <c r="AH168" s="264"/>
      <c r="AI168" s="264"/>
      <c r="AJ168" s="255"/>
      <c r="AK168" s="264"/>
      <c r="AL168" s="264"/>
      <c r="AM168" s="264"/>
      <c r="AN168" s="255"/>
      <c r="AO168" s="257"/>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row>
    <row r="169" spans="1:90" x14ac:dyDescent="0.25">
      <c r="A169" s="263"/>
      <c r="B169" s="254"/>
      <c r="C169" s="254"/>
      <c r="D169" s="264"/>
      <c r="E169" s="264"/>
      <c r="F169" s="264"/>
      <c r="G169" s="264"/>
      <c r="H169" s="255"/>
      <c r="I169" s="255"/>
      <c r="J169" s="255"/>
      <c r="K169" s="255"/>
      <c r="L169" s="255"/>
      <c r="M169" s="255"/>
      <c r="N169" s="256"/>
      <c r="O169" s="255"/>
      <c r="P169" s="255"/>
      <c r="Q169" s="255"/>
      <c r="R169" s="255"/>
      <c r="S169" s="255"/>
      <c r="T169" s="256"/>
      <c r="U169" s="255"/>
      <c r="V169" s="264"/>
      <c r="W169" s="264"/>
      <c r="X169" s="264"/>
      <c r="Y169" s="255"/>
      <c r="Z169" s="256"/>
      <c r="AA169" s="255"/>
      <c r="AB169" s="255"/>
      <c r="AC169" s="255"/>
      <c r="AD169" s="255"/>
      <c r="AE169" s="255"/>
      <c r="AF169" s="255"/>
      <c r="AG169" s="264"/>
      <c r="AH169" s="264"/>
      <c r="AI169" s="264"/>
      <c r="AJ169" s="255"/>
      <c r="AK169" s="264"/>
      <c r="AL169" s="264"/>
      <c r="AM169" s="264"/>
      <c r="AN169" s="255"/>
      <c r="AO169" s="257"/>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row>
    <row r="170" spans="1:90" x14ac:dyDescent="0.25">
      <c r="A170" s="263"/>
      <c r="B170" s="254"/>
      <c r="C170" s="254"/>
      <c r="D170" s="264"/>
      <c r="E170" s="264"/>
      <c r="F170" s="264"/>
      <c r="G170" s="264"/>
      <c r="H170" s="255"/>
      <c r="I170" s="255"/>
      <c r="J170" s="255"/>
      <c r="K170" s="255"/>
      <c r="L170" s="255"/>
      <c r="M170" s="255"/>
      <c r="N170" s="256"/>
      <c r="O170" s="255"/>
      <c r="P170" s="255"/>
      <c r="Q170" s="255"/>
      <c r="R170" s="255"/>
      <c r="S170" s="255"/>
      <c r="T170" s="256"/>
      <c r="U170" s="255"/>
      <c r="V170" s="264"/>
      <c r="W170" s="264"/>
      <c r="X170" s="264"/>
      <c r="Y170" s="255"/>
      <c r="Z170" s="256"/>
      <c r="AA170" s="255"/>
      <c r="AB170" s="255"/>
      <c r="AC170" s="255"/>
      <c r="AD170" s="255"/>
      <c r="AE170" s="255"/>
      <c r="AF170" s="255"/>
      <c r="AG170" s="264"/>
      <c r="AH170" s="264"/>
      <c r="AI170" s="264"/>
      <c r="AJ170" s="255"/>
      <c r="AK170" s="264"/>
      <c r="AL170" s="264"/>
      <c r="AM170" s="264"/>
      <c r="AN170" s="255"/>
      <c r="AO170" s="257"/>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row>
    <row r="171" spans="1:90" x14ac:dyDescent="0.25">
      <c r="A171" s="263"/>
      <c r="B171" s="254"/>
      <c r="C171" s="254"/>
      <c r="D171" s="254"/>
      <c r="E171" s="254"/>
      <c r="F171" s="254"/>
      <c r="G171" s="254"/>
      <c r="H171" s="265"/>
      <c r="I171" s="265"/>
      <c r="J171" s="265"/>
      <c r="K171" s="265"/>
      <c r="L171" s="265"/>
      <c r="M171" s="265"/>
      <c r="N171" s="266"/>
      <c r="O171" s="265"/>
      <c r="P171" s="265"/>
      <c r="Q171" s="265"/>
      <c r="R171" s="265"/>
      <c r="S171" s="265"/>
      <c r="T171" s="266"/>
      <c r="U171" s="265"/>
      <c r="V171" s="254"/>
      <c r="W171" s="254"/>
      <c r="X171" s="254"/>
      <c r="Y171" s="265"/>
      <c r="Z171" s="266"/>
      <c r="AA171" s="265"/>
      <c r="AB171" s="265"/>
      <c r="AC171" s="265"/>
      <c r="AD171" s="265"/>
      <c r="AE171" s="265"/>
      <c r="AF171" s="265"/>
      <c r="AG171" s="254"/>
      <c r="AH171" s="254"/>
      <c r="AI171" s="254"/>
      <c r="AJ171" s="265"/>
      <c r="AK171" s="254"/>
      <c r="AL171" s="254"/>
      <c r="AM171" s="254"/>
      <c r="AN171" s="265"/>
      <c r="AO171" s="257"/>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row>
    <row r="172" spans="1:90" x14ac:dyDescent="0.25">
      <c r="A172" s="263"/>
      <c r="B172" s="254"/>
      <c r="C172" s="254"/>
      <c r="D172" s="254"/>
      <c r="E172" s="254"/>
      <c r="F172" s="254"/>
      <c r="G172" s="254"/>
      <c r="H172" s="265"/>
      <c r="I172" s="265"/>
      <c r="J172" s="265"/>
      <c r="K172" s="265"/>
      <c r="L172" s="265"/>
      <c r="M172" s="265"/>
      <c r="N172" s="266"/>
      <c r="O172" s="265"/>
      <c r="P172" s="265"/>
      <c r="Q172" s="265"/>
      <c r="R172" s="265"/>
      <c r="S172" s="265"/>
      <c r="T172" s="266"/>
      <c r="U172" s="265"/>
      <c r="V172" s="254"/>
      <c r="W172" s="254"/>
      <c r="X172" s="254"/>
      <c r="Y172" s="265"/>
      <c r="Z172" s="266"/>
      <c r="AA172" s="265"/>
      <c r="AB172" s="265"/>
      <c r="AC172" s="265"/>
      <c r="AD172" s="265"/>
      <c r="AE172" s="265"/>
      <c r="AF172" s="265"/>
      <c r="AG172" s="254"/>
      <c r="AH172" s="254"/>
      <c r="AI172" s="254"/>
      <c r="AJ172" s="265"/>
      <c r="AK172" s="254"/>
      <c r="AL172" s="254"/>
      <c r="AM172" s="254"/>
      <c r="AN172" s="265"/>
      <c r="AO172" s="257"/>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row>
    <row r="173" spans="1:90" x14ac:dyDescent="0.25">
      <c r="A173" s="263"/>
      <c r="B173" s="254"/>
      <c r="C173" s="254"/>
      <c r="D173" s="254"/>
      <c r="E173" s="254"/>
      <c r="F173" s="254"/>
      <c r="G173" s="254"/>
      <c r="H173" s="265"/>
      <c r="I173" s="265"/>
      <c r="J173" s="265"/>
      <c r="K173" s="265"/>
      <c r="L173" s="265"/>
      <c r="M173" s="265"/>
      <c r="N173" s="266"/>
      <c r="O173" s="265"/>
      <c r="P173" s="265"/>
      <c r="Q173" s="265"/>
      <c r="R173" s="265"/>
      <c r="S173" s="265"/>
      <c r="T173" s="266"/>
      <c r="U173" s="265"/>
      <c r="V173" s="254"/>
      <c r="W173" s="254"/>
      <c r="X173" s="254"/>
      <c r="Y173" s="265"/>
      <c r="Z173" s="266"/>
      <c r="AA173" s="265"/>
      <c r="AB173" s="265"/>
      <c r="AC173" s="265"/>
      <c r="AD173" s="265"/>
      <c r="AE173" s="265"/>
      <c r="AF173" s="265"/>
      <c r="AG173" s="254"/>
      <c r="AH173" s="254"/>
      <c r="AI173" s="254"/>
      <c r="AJ173" s="265"/>
      <c r="AK173" s="254"/>
      <c r="AL173" s="254"/>
      <c r="AM173" s="254"/>
      <c r="AN173" s="265"/>
      <c r="AO173" s="257"/>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row>
    <row r="174" spans="1:90" x14ac:dyDescent="0.25">
      <c r="A174" s="263"/>
      <c r="B174" s="254"/>
      <c r="C174" s="254"/>
      <c r="D174" s="254"/>
      <c r="E174" s="254"/>
      <c r="F174" s="254"/>
      <c r="G174" s="254"/>
      <c r="H174" s="265"/>
      <c r="I174" s="265"/>
      <c r="J174" s="265"/>
      <c r="K174" s="265"/>
      <c r="L174" s="265"/>
      <c r="M174" s="265"/>
      <c r="N174" s="266"/>
      <c r="O174" s="265"/>
      <c r="P174" s="265"/>
      <c r="Q174" s="265"/>
      <c r="R174" s="265"/>
      <c r="S174" s="265"/>
      <c r="T174" s="266"/>
      <c r="U174" s="265"/>
      <c r="V174" s="254"/>
      <c r="W174" s="254"/>
      <c r="X174" s="254"/>
      <c r="Y174" s="265"/>
      <c r="Z174" s="266"/>
      <c r="AA174" s="265"/>
      <c r="AB174" s="265"/>
      <c r="AC174" s="265"/>
      <c r="AD174" s="265"/>
      <c r="AE174" s="265"/>
      <c r="AF174" s="265"/>
      <c r="AG174" s="254"/>
      <c r="AH174" s="254"/>
      <c r="AI174" s="254"/>
      <c r="AJ174" s="265"/>
      <c r="AK174" s="254"/>
      <c r="AL174" s="254"/>
      <c r="AM174" s="254"/>
      <c r="AN174" s="265"/>
      <c r="AO174" s="257"/>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row>
    <row r="175" spans="1:90" x14ac:dyDescent="0.25">
      <c r="A175" s="263"/>
      <c r="B175" s="254"/>
      <c r="C175" s="254"/>
      <c r="D175" s="264"/>
      <c r="E175" s="264"/>
      <c r="F175" s="264"/>
      <c r="G175" s="264"/>
      <c r="H175" s="265"/>
      <c r="I175" s="265"/>
      <c r="J175" s="265"/>
      <c r="K175" s="265"/>
      <c r="L175" s="265"/>
      <c r="M175" s="265"/>
      <c r="N175" s="266"/>
      <c r="O175" s="265"/>
      <c r="P175" s="265"/>
      <c r="Q175" s="265"/>
      <c r="R175" s="265"/>
      <c r="S175" s="265"/>
      <c r="T175" s="266"/>
      <c r="U175" s="265"/>
      <c r="V175" s="264"/>
      <c r="W175" s="264"/>
      <c r="X175" s="264"/>
      <c r="Y175" s="265"/>
      <c r="Z175" s="266"/>
      <c r="AA175" s="265"/>
      <c r="AB175" s="265"/>
      <c r="AC175" s="265"/>
      <c r="AD175" s="265"/>
      <c r="AE175" s="265"/>
      <c r="AF175" s="265"/>
      <c r="AG175" s="264"/>
      <c r="AH175" s="264"/>
      <c r="AI175" s="264"/>
      <c r="AJ175" s="265"/>
      <c r="AK175" s="264"/>
      <c r="AL175" s="264"/>
      <c r="AM175" s="264"/>
      <c r="AN175" s="265"/>
      <c r="AO175" s="257"/>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row>
    <row r="176" spans="1:90" s="268" customFormat="1" x14ac:dyDescent="0.25">
      <c r="A176" s="263"/>
      <c r="B176" s="254"/>
      <c r="C176" s="254"/>
      <c r="D176" s="264"/>
      <c r="E176" s="264"/>
      <c r="F176" s="264"/>
      <c r="G176" s="264"/>
      <c r="H176" s="255"/>
      <c r="I176" s="255"/>
      <c r="J176" s="255"/>
      <c r="K176" s="255"/>
      <c r="L176" s="255"/>
      <c r="M176" s="255"/>
      <c r="N176" s="256"/>
      <c r="O176" s="255"/>
      <c r="P176" s="255"/>
      <c r="Q176" s="255"/>
      <c r="R176" s="255"/>
      <c r="S176" s="255"/>
      <c r="T176" s="256"/>
      <c r="U176" s="255"/>
      <c r="V176" s="264"/>
      <c r="W176" s="264"/>
      <c r="X176" s="264"/>
      <c r="Y176" s="255"/>
      <c r="Z176" s="256"/>
      <c r="AA176" s="255"/>
      <c r="AB176" s="255"/>
      <c r="AC176" s="255"/>
      <c r="AD176" s="255"/>
      <c r="AE176" s="255"/>
      <c r="AF176" s="255"/>
      <c r="AG176" s="264"/>
      <c r="AH176" s="264"/>
      <c r="AI176" s="264"/>
      <c r="AJ176" s="255"/>
      <c r="AK176" s="264"/>
      <c r="AL176" s="264"/>
      <c r="AM176" s="264"/>
      <c r="AN176" s="255"/>
      <c r="AO176" s="267"/>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row>
    <row r="177" spans="1:90" x14ac:dyDescent="0.25">
      <c r="A177" s="263"/>
      <c r="B177" s="254"/>
      <c r="C177" s="254"/>
      <c r="D177" s="264"/>
      <c r="E177" s="264"/>
      <c r="F177" s="264"/>
      <c r="G177" s="264"/>
      <c r="H177" s="255"/>
      <c r="I177" s="255"/>
      <c r="J177" s="255"/>
      <c r="K177" s="255"/>
      <c r="L177" s="255"/>
      <c r="M177" s="255"/>
      <c r="N177" s="256"/>
      <c r="O177" s="255"/>
      <c r="P177" s="255"/>
      <c r="Q177" s="255"/>
      <c r="R177" s="255"/>
      <c r="S177" s="255"/>
      <c r="T177" s="256"/>
      <c r="U177" s="255"/>
      <c r="V177" s="264"/>
      <c r="W177" s="264"/>
      <c r="X177" s="264"/>
      <c r="Y177" s="255"/>
      <c r="Z177" s="256"/>
      <c r="AA177" s="255"/>
      <c r="AB177" s="255"/>
      <c r="AC177" s="255"/>
      <c r="AD177" s="255"/>
      <c r="AE177" s="255"/>
      <c r="AF177" s="255"/>
      <c r="AG177" s="264"/>
      <c r="AH177" s="264"/>
      <c r="AI177" s="264"/>
      <c r="AJ177" s="255"/>
      <c r="AK177" s="264"/>
      <c r="AL177" s="264"/>
      <c r="AM177" s="264"/>
      <c r="AN177" s="255"/>
      <c r="AO177" s="257"/>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row>
    <row r="178" spans="1:90" x14ac:dyDescent="0.25">
      <c r="A178" s="263"/>
      <c r="B178" s="254"/>
      <c r="C178" s="254"/>
      <c r="D178" s="264"/>
      <c r="E178" s="264"/>
      <c r="F178" s="264"/>
      <c r="G178" s="264"/>
      <c r="H178" s="255"/>
      <c r="I178" s="255"/>
      <c r="J178" s="255"/>
      <c r="K178" s="255"/>
      <c r="L178" s="255"/>
      <c r="M178" s="255"/>
      <c r="N178" s="256"/>
      <c r="O178" s="255"/>
      <c r="P178" s="255"/>
      <c r="Q178" s="255"/>
      <c r="R178" s="255"/>
      <c r="S178" s="255"/>
      <c r="T178" s="256"/>
      <c r="U178" s="255"/>
      <c r="V178" s="264"/>
      <c r="W178" s="264"/>
      <c r="X178" s="264"/>
      <c r="Y178" s="255"/>
      <c r="Z178" s="256"/>
      <c r="AA178" s="255"/>
      <c r="AB178" s="255"/>
      <c r="AC178" s="255"/>
      <c r="AD178" s="255"/>
      <c r="AE178" s="255"/>
      <c r="AF178" s="255"/>
      <c r="AG178" s="264"/>
      <c r="AH178" s="264"/>
      <c r="AI178" s="264"/>
      <c r="AJ178" s="255"/>
      <c r="AK178" s="264"/>
      <c r="AL178" s="264"/>
      <c r="AM178" s="264"/>
      <c r="AN178" s="255"/>
      <c r="AO178" s="257"/>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row>
    <row r="179" spans="1:90" x14ac:dyDescent="0.25">
      <c r="A179" s="263"/>
      <c r="B179" s="254"/>
      <c r="C179" s="254"/>
      <c r="D179" s="264"/>
      <c r="E179" s="264"/>
      <c r="F179" s="264"/>
      <c r="G179" s="264"/>
      <c r="H179" s="255"/>
      <c r="I179" s="255"/>
      <c r="J179" s="255"/>
      <c r="K179" s="255"/>
      <c r="L179" s="255"/>
      <c r="M179" s="255"/>
      <c r="N179" s="256"/>
      <c r="O179" s="255"/>
      <c r="P179" s="255"/>
      <c r="Q179" s="255"/>
      <c r="R179" s="255"/>
      <c r="S179" s="255"/>
      <c r="T179" s="256"/>
      <c r="U179" s="255"/>
      <c r="V179" s="264"/>
      <c r="W179" s="264"/>
      <c r="X179" s="264"/>
      <c r="Y179" s="255"/>
      <c r="Z179" s="256"/>
      <c r="AA179" s="255"/>
      <c r="AB179" s="255"/>
      <c r="AC179" s="255"/>
      <c r="AD179" s="255"/>
      <c r="AE179" s="255"/>
      <c r="AF179" s="255"/>
      <c r="AG179" s="264"/>
      <c r="AH179" s="264"/>
      <c r="AI179" s="264"/>
      <c r="AJ179" s="255"/>
      <c r="AK179" s="264"/>
      <c r="AL179" s="264"/>
      <c r="AM179" s="264"/>
      <c r="AN179" s="255"/>
      <c r="AO179" s="257"/>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row>
    <row r="180" spans="1:90" x14ac:dyDescent="0.25">
      <c r="A180" s="263"/>
      <c r="B180" s="254"/>
      <c r="C180" s="254"/>
      <c r="D180" s="264"/>
      <c r="E180" s="264"/>
      <c r="F180" s="264"/>
      <c r="G180" s="264"/>
      <c r="H180" s="255"/>
      <c r="I180" s="255"/>
      <c r="J180" s="255"/>
      <c r="K180" s="255"/>
      <c r="L180" s="255"/>
      <c r="M180" s="255"/>
      <c r="N180" s="256"/>
      <c r="O180" s="255"/>
      <c r="P180" s="255"/>
      <c r="Q180" s="255"/>
      <c r="R180" s="255"/>
      <c r="S180" s="255"/>
      <c r="T180" s="256"/>
      <c r="U180" s="255"/>
      <c r="V180" s="264"/>
      <c r="W180" s="264"/>
      <c r="X180" s="264"/>
      <c r="Y180" s="255"/>
      <c r="Z180" s="256"/>
      <c r="AA180" s="255"/>
      <c r="AB180" s="255"/>
      <c r="AC180" s="255"/>
      <c r="AD180" s="255"/>
      <c r="AE180" s="255"/>
      <c r="AF180" s="255"/>
      <c r="AG180" s="264"/>
      <c r="AH180" s="264"/>
      <c r="AI180" s="264"/>
      <c r="AJ180" s="255"/>
      <c r="AK180" s="264"/>
      <c r="AL180" s="264"/>
      <c r="AM180" s="264"/>
      <c r="AN180" s="255"/>
      <c r="AO180" s="257"/>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row>
    <row r="181" spans="1:90" x14ac:dyDescent="0.25">
      <c r="A181" s="253"/>
      <c r="B181" s="259"/>
      <c r="C181" s="259"/>
      <c r="D181" s="269"/>
      <c r="E181" s="269"/>
      <c r="F181" s="269"/>
      <c r="G181" s="269"/>
      <c r="H181" s="255"/>
      <c r="I181" s="255"/>
      <c r="J181" s="255"/>
      <c r="K181" s="255"/>
      <c r="L181" s="255"/>
      <c r="M181" s="255"/>
      <c r="N181" s="256"/>
      <c r="O181" s="255"/>
      <c r="P181" s="255"/>
      <c r="Q181" s="255"/>
      <c r="R181" s="255"/>
      <c r="S181" s="255"/>
      <c r="T181" s="256"/>
      <c r="U181" s="255"/>
      <c r="V181" s="269"/>
      <c r="W181" s="269"/>
      <c r="X181" s="269"/>
      <c r="Y181" s="255"/>
      <c r="Z181" s="256"/>
      <c r="AA181" s="255"/>
      <c r="AB181" s="255"/>
      <c r="AC181" s="255"/>
      <c r="AD181" s="255"/>
      <c r="AE181" s="255"/>
      <c r="AF181" s="255"/>
      <c r="AG181" s="269"/>
      <c r="AH181" s="269"/>
      <c r="AI181" s="269"/>
      <c r="AJ181" s="255"/>
      <c r="AK181" s="269"/>
      <c r="AL181" s="269"/>
      <c r="AM181" s="269"/>
      <c r="AN181" s="255"/>
      <c r="AO181" s="257"/>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row>
    <row r="182" spans="1:90" x14ac:dyDescent="0.25">
      <c r="A182" s="260"/>
      <c r="B182" s="261"/>
      <c r="C182" s="261"/>
      <c r="D182" s="262"/>
      <c r="E182" s="262"/>
      <c r="F182" s="262"/>
      <c r="G182" s="262"/>
      <c r="H182" s="255"/>
      <c r="I182" s="255"/>
      <c r="J182" s="255"/>
      <c r="K182" s="255"/>
      <c r="L182" s="255"/>
      <c r="M182" s="255"/>
      <c r="N182" s="256"/>
      <c r="O182" s="255"/>
      <c r="P182" s="255"/>
      <c r="Q182" s="255"/>
      <c r="R182" s="255"/>
      <c r="S182" s="255"/>
      <c r="T182" s="256"/>
      <c r="U182" s="255"/>
      <c r="V182" s="262"/>
      <c r="W182" s="262"/>
      <c r="X182" s="262"/>
      <c r="Y182" s="255"/>
      <c r="Z182" s="256"/>
      <c r="AA182" s="255"/>
      <c r="AB182" s="255"/>
      <c r="AC182" s="255"/>
      <c r="AD182" s="255"/>
      <c r="AE182" s="255"/>
      <c r="AF182" s="255"/>
      <c r="AG182" s="262"/>
      <c r="AH182" s="262"/>
      <c r="AI182" s="262"/>
      <c r="AJ182" s="255"/>
      <c r="AK182" s="262"/>
      <c r="AL182" s="262"/>
      <c r="AM182" s="262"/>
      <c r="AN182" s="255"/>
      <c r="AO182" s="257"/>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row>
    <row r="183" spans="1:90" x14ac:dyDescent="0.25">
      <c r="A183" s="253"/>
      <c r="B183" s="254"/>
      <c r="C183" s="254"/>
      <c r="D183" s="264"/>
      <c r="E183" s="264"/>
      <c r="F183" s="264"/>
      <c r="G183" s="264"/>
      <c r="H183" s="255"/>
      <c r="I183" s="255"/>
      <c r="J183" s="255"/>
      <c r="K183" s="255"/>
      <c r="L183" s="255"/>
      <c r="M183" s="255"/>
      <c r="N183" s="256"/>
      <c r="O183" s="255"/>
      <c r="P183" s="255"/>
      <c r="Q183" s="255"/>
      <c r="R183" s="255"/>
      <c r="S183" s="255"/>
      <c r="T183" s="256"/>
      <c r="U183" s="255"/>
      <c r="V183" s="264"/>
      <c r="W183" s="264"/>
      <c r="X183" s="264"/>
      <c r="Y183" s="255"/>
      <c r="Z183" s="256"/>
      <c r="AA183" s="255"/>
      <c r="AB183" s="255"/>
      <c r="AC183" s="255"/>
      <c r="AD183" s="255"/>
      <c r="AE183" s="255"/>
      <c r="AF183" s="255"/>
      <c r="AG183" s="264"/>
      <c r="AH183" s="264"/>
      <c r="AI183" s="264"/>
      <c r="AJ183" s="255"/>
      <c r="AK183" s="264"/>
      <c r="AL183" s="264"/>
      <c r="AM183" s="264"/>
      <c r="AN183" s="255"/>
      <c r="AO183" s="257"/>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row>
    <row r="184" spans="1:90" x14ac:dyDescent="0.25">
      <c r="A184" s="253"/>
      <c r="B184" s="254"/>
      <c r="C184" s="254"/>
      <c r="D184" s="264"/>
      <c r="E184" s="264"/>
      <c r="F184" s="264"/>
      <c r="G184" s="264"/>
      <c r="H184" s="255"/>
      <c r="I184" s="255"/>
      <c r="J184" s="255"/>
      <c r="K184" s="255"/>
      <c r="L184" s="255"/>
      <c r="M184" s="255"/>
      <c r="N184" s="256"/>
      <c r="O184" s="255"/>
      <c r="P184" s="255"/>
      <c r="Q184" s="255"/>
      <c r="R184" s="255"/>
      <c r="S184" s="255"/>
      <c r="T184" s="256"/>
      <c r="U184" s="255"/>
      <c r="V184" s="264"/>
      <c r="W184" s="264"/>
      <c r="X184" s="264"/>
      <c r="Y184" s="255"/>
      <c r="Z184" s="256"/>
      <c r="AA184" s="255"/>
      <c r="AB184" s="255"/>
      <c r="AC184" s="255"/>
      <c r="AD184" s="255"/>
      <c r="AE184" s="255"/>
      <c r="AF184" s="255"/>
      <c r="AG184" s="264"/>
      <c r="AH184" s="264"/>
      <c r="AI184" s="264"/>
      <c r="AJ184" s="255"/>
      <c r="AK184" s="264"/>
      <c r="AL184" s="264"/>
      <c r="AM184" s="264"/>
      <c r="AN184" s="255"/>
      <c r="AO184" s="257"/>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row>
    <row r="185" spans="1:90" x14ac:dyDescent="0.25">
      <c r="A185" s="253"/>
      <c r="B185" s="254"/>
      <c r="C185" s="254"/>
      <c r="D185" s="264"/>
      <c r="E185" s="264"/>
      <c r="F185" s="264"/>
      <c r="G185" s="264"/>
      <c r="H185" s="255"/>
      <c r="I185" s="255"/>
      <c r="J185" s="255"/>
      <c r="K185" s="255"/>
      <c r="L185" s="255"/>
      <c r="M185" s="255"/>
      <c r="N185" s="256"/>
      <c r="O185" s="255"/>
      <c r="P185" s="255"/>
      <c r="Q185" s="255"/>
      <c r="R185" s="255"/>
      <c r="S185" s="255"/>
      <c r="T185" s="256"/>
      <c r="U185" s="255"/>
      <c r="V185" s="264"/>
      <c r="W185" s="264"/>
      <c r="X185" s="264"/>
      <c r="Y185" s="255"/>
      <c r="Z185" s="256"/>
      <c r="AA185" s="255"/>
      <c r="AB185" s="255"/>
      <c r="AC185" s="255"/>
      <c r="AD185" s="255"/>
      <c r="AE185" s="255"/>
      <c r="AF185" s="255"/>
      <c r="AG185" s="264"/>
      <c r="AH185" s="264"/>
      <c r="AI185" s="264"/>
      <c r="AJ185" s="255"/>
      <c r="AK185" s="264"/>
      <c r="AL185" s="264"/>
      <c r="AM185" s="264"/>
      <c r="AN185" s="255"/>
      <c r="AO185" s="257"/>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row>
    <row r="186" spans="1:90" x14ac:dyDescent="0.25">
      <c r="A186" s="253"/>
      <c r="B186" s="254"/>
      <c r="C186" s="254"/>
      <c r="D186" s="264"/>
      <c r="E186" s="264"/>
      <c r="F186" s="264"/>
      <c r="G186" s="264"/>
      <c r="H186" s="255"/>
      <c r="I186" s="255"/>
      <c r="J186" s="255"/>
      <c r="K186" s="255"/>
      <c r="L186" s="255"/>
      <c r="M186" s="255"/>
      <c r="N186" s="256"/>
      <c r="O186" s="255"/>
      <c r="P186" s="255"/>
      <c r="Q186" s="255"/>
      <c r="R186" s="255"/>
      <c r="S186" s="255"/>
      <c r="T186" s="256"/>
      <c r="U186" s="255"/>
      <c r="V186" s="264"/>
      <c r="W186" s="264"/>
      <c r="X186" s="264"/>
      <c r="Y186" s="255"/>
      <c r="Z186" s="256"/>
      <c r="AA186" s="255"/>
      <c r="AB186" s="255"/>
      <c r="AC186" s="255"/>
      <c r="AD186" s="255"/>
      <c r="AE186" s="255"/>
      <c r="AF186" s="255"/>
      <c r="AG186" s="264"/>
      <c r="AH186" s="264"/>
      <c r="AI186" s="264"/>
      <c r="AJ186" s="255"/>
      <c r="AK186" s="264"/>
      <c r="AL186" s="264"/>
      <c r="AM186" s="264"/>
      <c r="AN186" s="255"/>
      <c r="AO186" s="257"/>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row>
    <row r="187" spans="1:90" x14ac:dyDescent="0.25">
      <c r="A187" s="253"/>
      <c r="B187" s="254"/>
      <c r="C187" s="254"/>
      <c r="D187" s="264"/>
      <c r="E187" s="264"/>
      <c r="F187" s="264"/>
      <c r="G187" s="264"/>
      <c r="H187" s="255"/>
      <c r="I187" s="255"/>
      <c r="J187" s="255"/>
      <c r="K187" s="255"/>
      <c r="L187" s="255"/>
      <c r="M187" s="255"/>
      <c r="N187" s="256"/>
      <c r="O187" s="255"/>
      <c r="P187" s="255"/>
      <c r="Q187" s="255"/>
      <c r="R187" s="255"/>
      <c r="S187" s="255"/>
      <c r="T187" s="256"/>
      <c r="U187" s="255"/>
      <c r="V187" s="264"/>
      <c r="W187" s="264"/>
      <c r="X187" s="264"/>
      <c r="Y187" s="255"/>
      <c r="Z187" s="256"/>
      <c r="AA187" s="255"/>
      <c r="AB187" s="255"/>
      <c r="AC187" s="255"/>
      <c r="AD187" s="255"/>
      <c r="AE187" s="255"/>
      <c r="AF187" s="255"/>
      <c r="AG187" s="264"/>
      <c r="AH187" s="264"/>
      <c r="AI187" s="264"/>
      <c r="AJ187" s="255"/>
      <c r="AK187" s="264"/>
      <c r="AL187" s="264"/>
      <c r="AM187" s="264"/>
      <c r="AN187" s="255"/>
      <c r="AO187" s="257"/>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row>
    <row r="188" spans="1:90" x14ac:dyDescent="0.25">
      <c r="A188" s="258"/>
      <c r="B188" s="259"/>
      <c r="C188" s="259"/>
      <c r="D188" s="269"/>
      <c r="E188" s="269"/>
      <c r="F188" s="269"/>
      <c r="G188" s="269"/>
      <c r="H188" s="265"/>
      <c r="I188" s="265"/>
      <c r="J188" s="265"/>
      <c r="K188" s="265"/>
      <c r="L188" s="265"/>
      <c r="M188" s="265"/>
      <c r="N188" s="266"/>
      <c r="O188" s="265"/>
      <c r="P188" s="265"/>
      <c r="Q188" s="265"/>
      <c r="R188" s="265"/>
      <c r="S188" s="265"/>
      <c r="T188" s="266"/>
      <c r="U188" s="265"/>
      <c r="V188" s="269"/>
      <c r="W188" s="269"/>
      <c r="X188" s="269"/>
      <c r="Y188" s="265"/>
      <c r="Z188" s="266"/>
      <c r="AA188" s="265"/>
      <c r="AB188" s="265"/>
      <c r="AC188" s="265"/>
      <c r="AD188" s="265"/>
      <c r="AE188" s="265"/>
      <c r="AF188" s="265"/>
      <c r="AG188" s="269"/>
      <c r="AH188" s="269"/>
      <c r="AI188" s="269"/>
      <c r="AJ188" s="265"/>
      <c r="AK188" s="269"/>
      <c r="AL188" s="269"/>
      <c r="AM188" s="269"/>
      <c r="AN188" s="265"/>
      <c r="AO188" s="257"/>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row>
    <row r="189" spans="1:90" x14ac:dyDescent="0.25">
      <c r="A189" s="260"/>
      <c r="B189" s="261"/>
      <c r="C189" s="261"/>
      <c r="D189" s="262"/>
      <c r="E189" s="262"/>
      <c r="F189" s="262"/>
      <c r="G189" s="262"/>
      <c r="H189" s="255"/>
      <c r="I189" s="255"/>
      <c r="J189" s="255"/>
      <c r="K189" s="255"/>
      <c r="L189" s="255"/>
      <c r="M189" s="255"/>
      <c r="N189" s="256"/>
      <c r="O189" s="255"/>
      <c r="P189" s="255"/>
      <c r="Q189" s="255"/>
      <c r="R189" s="255"/>
      <c r="S189" s="255"/>
      <c r="T189" s="256"/>
      <c r="U189" s="255"/>
      <c r="V189" s="262"/>
      <c r="W189" s="262"/>
      <c r="X189" s="262"/>
      <c r="Y189" s="255"/>
      <c r="Z189" s="256"/>
      <c r="AA189" s="255"/>
      <c r="AB189" s="255"/>
      <c r="AC189" s="255"/>
      <c r="AD189" s="255"/>
      <c r="AE189" s="255"/>
      <c r="AF189" s="255"/>
      <c r="AG189" s="262"/>
      <c r="AH189" s="262"/>
      <c r="AI189" s="262"/>
      <c r="AJ189" s="255"/>
      <c r="AK189" s="262"/>
      <c r="AL189" s="262"/>
      <c r="AM189" s="262"/>
      <c r="AN189" s="255"/>
      <c r="AO189" s="257"/>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row>
    <row r="190" spans="1:90" x14ac:dyDescent="0.25">
      <c r="A190" s="253"/>
      <c r="B190" s="270"/>
      <c r="C190" s="270"/>
      <c r="D190" s="271"/>
      <c r="E190" s="271"/>
      <c r="F190" s="271"/>
      <c r="G190" s="271"/>
      <c r="H190" s="255"/>
      <c r="I190" s="255"/>
      <c r="J190" s="255"/>
      <c r="K190" s="255"/>
      <c r="L190" s="255"/>
      <c r="M190" s="255"/>
      <c r="N190" s="256"/>
      <c r="O190" s="255"/>
      <c r="P190" s="255"/>
      <c r="Q190" s="255"/>
      <c r="R190" s="255"/>
      <c r="S190" s="255"/>
      <c r="T190" s="256"/>
      <c r="U190" s="255"/>
      <c r="V190" s="271"/>
      <c r="W190" s="271"/>
      <c r="X190" s="271"/>
      <c r="Y190" s="255"/>
      <c r="Z190" s="256"/>
      <c r="AA190" s="255"/>
      <c r="AB190" s="255"/>
      <c r="AC190" s="255"/>
      <c r="AD190" s="255"/>
      <c r="AE190" s="255"/>
      <c r="AF190" s="255"/>
      <c r="AG190" s="271"/>
      <c r="AH190" s="271"/>
      <c r="AI190" s="271"/>
      <c r="AJ190" s="255"/>
      <c r="AK190" s="271"/>
      <c r="AL190" s="271"/>
      <c r="AM190" s="271"/>
      <c r="AN190" s="255"/>
      <c r="AO190" s="257"/>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row>
    <row r="191" spans="1:90" x14ac:dyDescent="0.25">
      <c r="A191" s="253"/>
      <c r="B191" s="270"/>
      <c r="C191" s="270"/>
      <c r="D191" s="271"/>
      <c r="E191" s="271"/>
      <c r="F191" s="271"/>
      <c r="G191" s="271"/>
      <c r="H191" s="255"/>
      <c r="I191" s="255"/>
      <c r="J191" s="255"/>
      <c r="K191" s="255"/>
      <c r="L191" s="255"/>
      <c r="M191" s="255"/>
      <c r="N191" s="256"/>
      <c r="O191" s="255"/>
      <c r="P191" s="255"/>
      <c r="Q191" s="255"/>
      <c r="R191" s="255"/>
      <c r="S191" s="255"/>
      <c r="T191" s="256"/>
      <c r="U191" s="255"/>
      <c r="V191" s="271"/>
      <c r="W191" s="271"/>
      <c r="X191" s="271"/>
      <c r="Y191" s="255"/>
      <c r="Z191" s="256"/>
      <c r="AA191" s="255"/>
      <c r="AB191" s="255"/>
      <c r="AC191" s="255"/>
      <c r="AD191" s="255"/>
      <c r="AE191" s="255"/>
      <c r="AF191" s="255"/>
      <c r="AG191" s="271"/>
      <c r="AH191" s="271"/>
      <c r="AI191" s="271"/>
      <c r="AJ191" s="255"/>
      <c r="AK191" s="271"/>
      <c r="AL191" s="271"/>
      <c r="AM191" s="271"/>
      <c r="AN191" s="255"/>
      <c r="AO191" s="257"/>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row>
    <row r="192" spans="1:90" x14ac:dyDescent="0.25">
      <c r="A192" s="253"/>
      <c r="B192" s="270"/>
      <c r="C192" s="270"/>
      <c r="D192" s="271"/>
      <c r="E192" s="271"/>
      <c r="F192" s="271"/>
      <c r="G192" s="271"/>
      <c r="H192" s="255"/>
      <c r="I192" s="255"/>
      <c r="J192" s="255"/>
      <c r="K192" s="255"/>
      <c r="L192" s="255"/>
      <c r="M192" s="255"/>
      <c r="N192" s="256"/>
      <c r="O192" s="255"/>
      <c r="P192" s="255"/>
      <c r="Q192" s="255"/>
      <c r="R192" s="255"/>
      <c r="S192" s="255"/>
      <c r="T192" s="256"/>
      <c r="U192" s="255"/>
      <c r="V192" s="271"/>
      <c r="W192" s="271"/>
      <c r="X192" s="271"/>
      <c r="Y192" s="255"/>
      <c r="Z192" s="256"/>
      <c r="AA192" s="255"/>
      <c r="AB192" s="255"/>
      <c r="AC192" s="255"/>
      <c r="AD192" s="255"/>
      <c r="AE192" s="255"/>
      <c r="AF192" s="255"/>
      <c r="AG192" s="271"/>
      <c r="AH192" s="271"/>
      <c r="AI192" s="271"/>
      <c r="AJ192" s="255"/>
      <c r="AK192" s="271"/>
      <c r="AL192" s="271"/>
      <c r="AM192" s="271"/>
      <c r="AN192" s="255"/>
      <c r="AO192" s="257"/>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row>
    <row r="193" spans="1:90" x14ac:dyDescent="0.25">
      <c r="A193" s="253"/>
      <c r="B193" s="270"/>
      <c r="C193" s="270"/>
      <c r="D193" s="271"/>
      <c r="E193" s="271"/>
      <c r="F193" s="271"/>
      <c r="G193" s="271"/>
      <c r="H193" s="272"/>
      <c r="I193" s="272"/>
      <c r="J193" s="272"/>
      <c r="K193" s="272"/>
      <c r="L193" s="272"/>
      <c r="M193" s="272"/>
      <c r="N193" s="273"/>
      <c r="O193" s="272"/>
      <c r="P193" s="272"/>
      <c r="Q193" s="272"/>
      <c r="R193" s="272"/>
      <c r="S193" s="272"/>
      <c r="T193" s="273"/>
      <c r="U193" s="272"/>
      <c r="V193" s="271"/>
      <c r="W193" s="271"/>
      <c r="X193" s="271"/>
      <c r="Y193" s="272"/>
      <c r="Z193" s="273"/>
      <c r="AA193" s="272"/>
      <c r="AB193" s="272"/>
      <c r="AC193" s="272"/>
      <c r="AD193" s="272"/>
      <c r="AE193" s="272"/>
      <c r="AF193" s="272"/>
      <c r="AG193" s="271"/>
      <c r="AH193" s="271"/>
      <c r="AI193" s="271"/>
      <c r="AJ193" s="272"/>
      <c r="AK193" s="271"/>
      <c r="AL193" s="271"/>
      <c r="AM193" s="271"/>
      <c r="AN193" s="272"/>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row>
    <row r="194" spans="1:90" x14ac:dyDescent="0.25">
      <c r="A194" s="253"/>
      <c r="B194" s="270"/>
      <c r="C194" s="270"/>
      <c r="D194" s="271"/>
      <c r="E194" s="271"/>
      <c r="F194" s="271"/>
      <c r="G194" s="271"/>
      <c r="H194" s="272"/>
      <c r="I194" s="272"/>
      <c r="J194" s="272"/>
      <c r="K194" s="272"/>
      <c r="L194" s="272"/>
      <c r="M194" s="272"/>
      <c r="N194" s="273"/>
      <c r="O194" s="272"/>
      <c r="P194" s="272"/>
      <c r="Q194" s="272"/>
      <c r="R194" s="272"/>
      <c r="S194" s="272"/>
      <c r="T194" s="273"/>
      <c r="U194" s="272"/>
      <c r="V194" s="271"/>
      <c r="W194" s="271"/>
      <c r="X194" s="271"/>
      <c r="Y194" s="272"/>
      <c r="Z194" s="273"/>
      <c r="AA194" s="272"/>
      <c r="AB194" s="272"/>
      <c r="AC194" s="272"/>
      <c r="AD194" s="272"/>
      <c r="AE194" s="272"/>
      <c r="AF194" s="272"/>
      <c r="AG194" s="271"/>
      <c r="AH194" s="271"/>
      <c r="AI194" s="271"/>
      <c r="AJ194" s="272"/>
      <c r="AK194" s="271"/>
      <c r="AL194" s="271"/>
      <c r="AM194" s="271"/>
      <c r="AN194" s="272"/>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row>
    <row r="195" spans="1:90" x14ac:dyDescent="0.25">
      <c r="A195" s="253"/>
      <c r="B195" s="254"/>
      <c r="C195" s="254"/>
      <c r="D195" s="264"/>
      <c r="E195" s="264"/>
      <c r="F195" s="264"/>
      <c r="G195" s="264"/>
      <c r="H195" s="272"/>
      <c r="I195" s="272"/>
      <c r="J195" s="272"/>
      <c r="K195" s="272"/>
      <c r="L195" s="272"/>
      <c r="M195" s="272"/>
      <c r="N195" s="273"/>
      <c r="O195" s="272"/>
      <c r="P195" s="272"/>
      <c r="Q195" s="272"/>
      <c r="R195" s="272"/>
      <c r="S195" s="272"/>
      <c r="T195" s="273"/>
      <c r="U195" s="272"/>
      <c r="V195" s="264"/>
      <c r="W195" s="264"/>
      <c r="X195" s="264"/>
      <c r="Y195" s="272"/>
      <c r="Z195" s="273"/>
      <c r="AA195" s="272"/>
      <c r="AB195" s="272"/>
      <c r="AC195" s="272"/>
      <c r="AD195" s="272"/>
      <c r="AE195" s="272"/>
      <c r="AF195" s="272"/>
      <c r="AG195" s="264"/>
      <c r="AH195" s="264"/>
      <c r="AI195" s="264"/>
      <c r="AJ195" s="272"/>
      <c r="AK195" s="264"/>
      <c r="AL195" s="264"/>
      <c r="AM195" s="264"/>
      <c r="AN195" s="272"/>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row>
    <row r="196" spans="1:90" x14ac:dyDescent="0.25">
      <c r="A196" s="253"/>
      <c r="B196" s="254"/>
      <c r="C196" s="254"/>
      <c r="D196" s="264"/>
      <c r="E196" s="264"/>
      <c r="F196" s="264"/>
      <c r="G196" s="264"/>
      <c r="H196" s="272"/>
      <c r="I196" s="272"/>
      <c r="J196" s="272"/>
      <c r="K196" s="272"/>
      <c r="L196" s="272"/>
      <c r="M196" s="272"/>
      <c r="N196" s="273"/>
      <c r="O196" s="272"/>
      <c r="P196" s="272"/>
      <c r="Q196" s="272"/>
      <c r="R196" s="272"/>
      <c r="S196" s="272"/>
      <c r="T196" s="273"/>
      <c r="U196" s="272"/>
      <c r="V196" s="264"/>
      <c r="W196" s="264"/>
      <c r="X196" s="264"/>
      <c r="Y196" s="272"/>
      <c r="Z196" s="273"/>
      <c r="AA196" s="272"/>
      <c r="AB196" s="272"/>
      <c r="AC196" s="272"/>
      <c r="AD196" s="272"/>
      <c r="AE196" s="272"/>
      <c r="AF196" s="272"/>
      <c r="AG196" s="264"/>
      <c r="AH196" s="264"/>
      <c r="AI196" s="264"/>
      <c r="AJ196" s="272"/>
      <c r="AK196" s="264"/>
      <c r="AL196" s="264"/>
      <c r="AM196" s="264"/>
      <c r="AN196" s="272"/>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row>
    <row r="197" spans="1:90" x14ac:dyDescent="0.25">
      <c r="A197" s="253"/>
      <c r="B197" s="254"/>
      <c r="C197" s="254"/>
      <c r="D197" s="264"/>
      <c r="E197" s="264"/>
      <c r="F197" s="264"/>
      <c r="G197" s="264"/>
      <c r="H197" s="272"/>
      <c r="I197" s="272"/>
      <c r="J197" s="272"/>
      <c r="K197" s="272"/>
      <c r="L197" s="272"/>
      <c r="M197" s="272"/>
      <c r="N197" s="273"/>
      <c r="O197" s="272"/>
      <c r="P197" s="272"/>
      <c r="Q197" s="272"/>
      <c r="R197" s="272"/>
      <c r="S197" s="272"/>
      <c r="T197" s="273"/>
      <c r="U197" s="272"/>
      <c r="V197" s="264"/>
      <c r="W197" s="264"/>
      <c r="X197" s="264"/>
      <c r="Y197" s="272"/>
      <c r="Z197" s="273"/>
      <c r="AA197" s="272"/>
      <c r="AB197" s="272"/>
      <c r="AC197" s="272"/>
      <c r="AD197" s="272"/>
      <c r="AE197" s="272"/>
      <c r="AF197" s="272"/>
      <c r="AG197" s="264"/>
      <c r="AH197" s="264"/>
      <c r="AI197" s="264"/>
      <c r="AJ197" s="272"/>
      <c r="AK197" s="264"/>
      <c r="AL197" s="264"/>
      <c r="AM197" s="264"/>
      <c r="AN197" s="272"/>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row>
    <row r="198" spans="1:90" x14ac:dyDescent="0.25">
      <c r="A198" s="253"/>
      <c r="B198" s="254"/>
      <c r="C198" s="254"/>
      <c r="D198" s="264"/>
      <c r="E198" s="264"/>
      <c r="F198" s="264"/>
      <c r="G198" s="264"/>
      <c r="H198" s="272"/>
      <c r="I198" s="272"/>
      <c r="J198" s="272"/>
      <c r="K198" s="272"/>
      <c r="L198" s="272"/>
      <c r="M198" s="272"/>
      <c r="N198" s="273"/>
      <c r="O198" s="272"/>
      <c r="P198" s="272"/>
      <c r="Q198" s="272"/>
      <c r="R198" s="272"/>
      <c r="S198" s="272"/>
      <c r="T198" s="273"/>
      <c r="U198" s="272"/>
      <c r="V198" s="264"/>
      <c r="W198" s="264"/>
      <c r="X198" s="264"/>
      <c r="Y198" s="272"/>
      <c r="Z198" s="273"/>
      <c r="AA198" s="272"/>
      <c r="AB198" s="272"/>
      <c r="AC198" s="272"/>
      <c r="AD198" s="272"/>
      <c r="AE198" s="272"/>
      <c r="AF198" s="272"/>
      <c r="AG198" s="264"/>
      <c r="AH198" s="264"/>
      <c r="AI198" s="264"/>
      <c r="AJ198" s="272"/>
      <c r="AK198" s="264"/>
      <c r="AL198" s="264"/>
      <c r="AM198" s="264"/>
      <c r="AN198" s="272"/>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row>
    <row r="199" spans="1:90" x14ac:dyDescent="0.25">
      <c r="A199" s="253"/>
      <c r="B199" s="254"/>
      <c r="C199" s="254"/>
      <c r="D199" s="264"/>
      <c r="E199" s="264"/>
      <c r="F199" s="264"/>
      <c r="G199" s="264"/>
      <c r="H199" s="272"/>
      <c r="I199" s="272"/>
      <c r="J199" s="272"/>
      <c r="K199" s="272"/>
      <c r="L199" s="272"/>
      <c r="M199" s="272"/>
      <c r="N199" s="273"/>
      <c r="O199" s="272"/>
      <c r="P199" s="272"/>
      <c r="Q199" s="272"/>
      <c r="R199" s="272"/>
      <c r="S199" s="272"/>
      <c r="T199" s="273"/>
      <c r="U199" s="272"/>
      <c r="V199" s="264"/>
      <c r="W199" s="264"/>
      <c r="X199" s="264"/>
      <c r="Y199" s="272"/>
      <c r="Z199" s="273"/>
      <c r="AA199" s="272"/>
      <c r="AB199" s="272"/>
      <c r="AC199" s="272"/>
      <c r="AD199" s="272"/>
      <c r="AE199" s="272"/>
      <c r="AF199" s="272"/>
      <c r="AG199" s="264"/>
      <c r="AH199" s="264"/>
      <c r="AI199" s="264"/>
      <c r="AJ199" s="272"/>
      <c r="AK199" s="264"/>
      <c r="AL199" s="264"/>
      <c r="AM199" s="264"/>
      <c r="AN199" s="272"/>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row>
    <row r="200" spans="1:90" x14ac:dyDescent="0.25">
      <c r="A200" s="253"/>
      <c r="B200" s="254"/>
      <c r="C200" s="254"/>
      <c r="D200" s="264"/>
      <c r="E200" s="264"/>
      <c r="F200" s="264"/>
      <c r="G200" s="264"/>
      <c r="H200" s="272"/>
      <c r="I200" s="272"/>
      <c r="J200" s="272"/>
      <c r="K200" s="272"/>
      <c r="L200" s="272"/>
      <c r="M200" s="272"/>
      <c r="N200" s="273"/>
      <c r="O200" s="272"/>
      <c r="P200" s="272"/>
      <c r="Q200" s="272"/>
      <c r="R200" s="272"/>
      <c r="S200" s="272"/>
      <c r="T200" s="273"/>
      <c r="U200" s="272"/>
      <c r="V200" s="264"/>
      <c r="W200" s="264"/>
      <c r="X200" s="264"/>
      <c r="Y200" s="272"/>
      <c r="Z200" s="273"/>
      <c r="AA200" s="272"/>
      <c r="AB200" s="272"/>
      <c r="AC200" s="272"/>
      <c r="AD200" s="272"/>
      <c r="AE200" s="272"/>
      <c r="AF200" s="272"/>
      <c r="AG200" s="264"/>
      <c r="AH200" s="264"/>
      <c r="AI200" s="264"/>
      <c r="AJ200" s="272"/>
      <c r="AK200" s="264"/>
      <c r="AL200" s="264"/>
      <c r="AM200" s="264"/>
      <c r="AN200" s="272"/>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row>
    <row r="201" spans="1:90" x14ac:dyDescent="0.25">
      <c r="A201" s="253"/>
      <c r="B201" s="254"/>
      <c r="C201" s="254"/>
      <c r="D201" s="264"/>
      <c r="E201" s="264"/>
      <c r="F201" s="264"/>
      <c r="G201" s="264"/>
      <c r="H201" s="272"/>
      <c r="I201" s="272"/>
      <c r="J201" s="272"/>
      <c r="K201" s="272"/>
      <c r="L201" s="272"/>
      <c r="M201" s="272"/>
      <c r="N201" s="273"/>
      <c r="O201" s="272"/>
      <c r="P201" s="272"/>
      <c r="Q201" s="272"/>
      <c r="R201" s="272"/>
      <c r="S201" s="272"/>
      <c r="T201" s="273"/>
      <c r="U201" s="272"/>
      <c r="V201" s="264"/>
      <c r="W201" s="264"/>
      <c r="X201" s="264"/>
      <c r="Y201" s="272"/>
      <c r="Z201" s="273"/>
      <c r="AA201" s="272"/>
      <c r="AB201" s="272"/>
      <c r="AC201" s="272"/>
      <c r="AD201" s="272"/>
      <c r="AE201" s="272"/>
      <c r="AF201" s="272"/>
      <c r="AG201" s="264"/>
      <c r="AH201" s="264"/>
      <c r="AI201" s="264"/>
      <c r="AJ201" s="272"/>
      <c r="AK201" s="264"/>
      <c r="AL201" s="264"/>
      <c r="AM201" s="264"/>
      <c r="AN201" s="272"/>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row>
    <row r="202" spans="1:90" x14ac:dyDescent="0.25">
      <c r="A202" s="253"/>
      <c r="B202" s="254"/>
      <c r="C202" s="254"/>
      <c r="D202" s="264"/>
      <c r="E202" s="264"/>
      <c r="F202" s="264"/>
      <c r="G202" s="264"/>
      <c r="H202" s="272"/>
      <c r="I202" s="272"/>
      <c r="J202" s="272"/>
      <c r="K202" s="272"/>
      <c r="L202" s="272"/>
      <c r="M202" s="272"/>
      <c r="N202" s="273"/>
      <c r="O202" s="272"/>
      <c r="P202" s="272"/>
      <c r="Q202" s="272"/>
      <c r="R202" s="272"/>
      <c r="S202" s="272"/>
      <c r="T202" s="273"/>
      <c r="U202" s="272"/>
      <c r="V202" s="264"/>
      <c r="W202" s="264"/>
      <c r="X202" s="264"/>
      <c r="Y202" s="272"/>
      <c r="Z202" s="273"/>
      <c r="AA202" s="272"/>
      <c r="AB202" s="272"/>
      <c r="AC202" s="272"/>
      <c r="AD202" s="272"/>
      <c r="AE202" s="272"/>
      <c r="AF202" s="272"/>
      <c r="AG202" s="264"/>
      <c r="AH202" s="264"/>
      <c r="AI202" s="264"/>
      <c r="AJ202" s="272"/>
      <c r="AK202" s="264"/>
      <c r="AL202" s="264"/>
      <c r="AM202" s="264"/>
      <c r="AN202" s="272"/>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row>
    <row r="203" spans="1:90" x14ac:dyDescent="0.25">
      <c r="A203" s="253"/>
      <c r="B203" s="254"/>
      <c r="C203" s="254"/>
      <c r="D203" s="264"/>
      <c r="E203" s="264"/>
      <c r="F203" s="264"/>
      <c r="G203" s="264"/>
      <c r="H203" s="272"/>
      <c r="I203" s="272"/>
      <c r="J203" s="272"/>
      <c r="K203" s="272"/>
      <c r="L203" s="272"/>
      <c r="M203" s="272"/>
      <c r="N203" s="273"/>
      <c r="O203" s="272"/>
      <c r="P203" s="272"/>
      <c r="Q203" s="272"/>
      <c r="R203" s="272"/>
      <c r="S203" s="272"/>
      <c r="T203" s="273"/>
      <c r="U203" s="272"/>
      <c r="V203" s="264"/>
      <c r="W203" s="264"/>
      <c r="X203" s="264"/>
      <c r="Y203" s="272"/>
      <c r="Z203" s="273"/>
      <c r="AA203" s="272"/>
      <c r="AB203" s="272"/>
      <c r="AC203" s="272"/>
      <c r="AD203" s="272"/>
      <c r="AE203" s="272"/>
      <c r="AF203" s="272"/>
      <c r="AG203" s="264"/>
      <c r="AH203" s="264"/>
      <c r="AI203" s="264"/>
      <c r="AJ203" s="272"/>
      <c r="AK203" s="264"/>
      <c r="AL203" s="264"/>
      <c r="AM203" s="264"/>
      <c r="AN203" s="272"/>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row>
    <row r="204" spans="1:90" x14ac:dyDescent="0.25">
      <c r="A204" s="253"/>
      <c r="B204" s="254"/>
      <c r="C204" s="254"/>
      <c r="D204" s="264"/>
      <c r="E204" s="264"/>
      <c r="F204" s="264"/>
      <c r="G204" s="264"/>
      <c r="H204" s="272"/>
      <c r="I204" s="272"/>
      <c r="J204" s="272"/>
      <c r="K204" s="272"/>
      <c r="L204" s="272"/>
      <c r="M204" s="272"/>
      <c r="N204" s="273"/>
      <c r="O204" s="272"/>
      <c r="P204" s="272"/>
      <c r="Q204" s="272"/>
      <c r="R204" s="272"/>
      <c r="S204" s="272"/>
      <c r="T204" s="273"/>
      <c r="U204" s="272"/>
      <c r="V204" s="264"/>
      <c r="W204" s="264"/>
      <c r="X204" s="264"/>
      <c r="Y204" s="272"/>
      <c r="Z204" s="273"/>
      <c r="AA204" s="272"/>
      <c r="AB204" s="272"/>
      <c r="AC204" s="272"/>
      <c r="AD204" s="272"/>
      <c r="AE204" s="272"/>
      <c r="AF204" s="272"/>
      <c r="AG204" s="264"/>
      <c r="AH204" s="264"/>
      <c r="AI204" s="264"/>
      <c r="AJ204" s="272"/>
      <c r="AK204" s="264"/>
      <c r="AL204" s="264"/>
      <c r="AM204" s="264"/>
      <c r="AN204" s="272"/>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row>
    <row r="205" spans="1:90" x14ac:dyDescent="0.25">
      <c r="A205" s="253"/>
      <c r="B205" s="254"/>
      <c r="C205" s="254"/>
      <c r="D205" s="264"/>
      <c r="E205" s="264"/>
      <c r="F205" s="264"/>
      <c r="G205" s="264"/>
      <c r="H205" s="274"/>
      <c r="I205" s="274"/>
      <c r="J205" s="274"/>
      <c r="K205" s="274"/>
      <c r="L205" s="274"/>
      <c r="M205" s="274"/>
      <c r="N205" s="275"/>
      <c r="O205" s="274"/>
      <c r="P205" s="274"/>
      <c r="Q205" s="274"/>
      <c r="R205" s="274"/>
      <c r="S205" s="274"/>
      <c r="T205" s="275"/>
      <c r="U205" s="274"/>
      <c r="V205" s="264"/>
      <c r="W205" s="264"/>
      <c r="X205" s="264"/>
      <c r="Y205" s="274"/>
      <c r="Z205" s="275"/>
      <c r="AA205" s="274"/>
      <c r="AB205" s="274"/>
      <c r="AC205" s="274"/>
      <c r="AD205" s="274"/>
      <c r="AE205" s="274"/>
      <c r="AF205" s="274"/>
      <c r="AG205" s="264"/>
      <c r="AH205" s="264"/>
      <c r="AI205" s="264"/>
      <c r="AJ205" s="274"/>
      <c r="AK205" s="264"/>
      <c r="AL205" s="264"/>
      <c r="AM205" s="264"/>
      <c r="AN205" s="27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row>
    <row r="206" spans="1:90" x14ac:dyDescent="0.25">
      <c r="A206" s="253"/>
      <c r="B206" s="254"/>
      <c r="C206" s="254"/>
      <c r="D206" s="264"/>
      <c r="E206" s="264"/>
      <c r="F206" s="264"/>
      <c r="G206" s="264"/>
      <c r="H206" s="274"/>
      <c r="I206" s="274"/>
      <c r="J206" s="274"/>
      <c r="K206" s="274"/>
      <c r="L206" s="274"/>
      <c r="M206" s="274"/>
      <c r="N206" s="275"/>
      <c r="O206" s="274"/>
      <c r="P206" s="274"/>
      <c r="Q206" s="274"/>
      <c r="R206" s="274"/>
      <c r="S206" s="274"/>
      <c r="T206" s="275"/>
      <c r="U206" s="274"/>
      <c r="V206" s="264"/>
      <c r="W206" s="264"/>
      <c r="X206" s="264"/>
      <c r="Y206" s="274"/>
      <c r="Z206" s="275"/>
      <c r="AA206" s="274"/>
      <c r="AB206" s="274"/>
      <c r="AC206" s="274"/>
      <c r="AD206" s="274"/>
      <c r="AE206" s="274"/>
      <c r="AF206" s="274"/>
      <c r="AG206" s="264"/>
      <c r="AH206" s="264"/>
      <c r="AI206" s="264"/>
      <c r="AJ206" s="274"/>
      <c r="AK206" s="264"/>
      <c r="AL206" s="264"/>
      <c r="AM206" s="264"/>
      <c r="AN206" s="27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row>
    <row r="207" spans="1:90" x14ac:dyDescent="0.25">
      <c r="A207" s="253"/>
      <c r="B207" s="254"/>
      <c r="C207" s="254"/>
      <c r="D207" s="264"/>
      <c r="E207" s="264"/>
      <c r="F207" s="264"/>
      <c r="G207" s="264"/>
      <c r="H207" s="274"/>
      <c r="I207" s="274"/>
      <c r="J207" s="274"/>
      <c r="K207" s="274"/>
      <c r="L207" s="274"/>
      <c r="M207" s="274"/>
      <c r="N207" s="275"/>
      <c r="O207" s="274"/>
      <c r="P207" s="274"/>
      <c r="Q207" s="274"/>
      <c r="R207" s="274"/>
      <c r="S207" s="274"/>
      <c r="T207" s="275"/>
      <c r="U207" s="274"/>
      <c r="V207" s="264"/>
      <c r="W207" s="264"/>
      <c r="X207" s="264"/>
      <c r="Y207" s="274"/>
      <c r="Z207" s="275"/>
      <c r="AA207" s="274"/>
      <c r="AB207" s="274"/>
      <c r="AC207" s="274"/>
      <c r="AD207" s="274"/>
      <c r="AE207" s="274"/>
      <c r="AF207" s="274"/>
      <c r="AG207" s="264"/>
      <c r="AH207" s="264"/>
      <c r="AI207" s="264"/>
      <c r="AJ207" s="274"/>
      <c r="AK207" s="264"/>
      <c r="AL207" s="264"/>
      <c r="AM207" s="264"/>
      <c r="AN207" s="27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row>
    <row r="208" spans="1:90" x14ac:dyDescent="0.25">
      <c r="A208" s="253"/>
      <c r="B208" s="254"/>
      <c r="C208" s="254"/>
      <c r="D208" s="264"/>
      <c r="E208" s="264"/>
      <c r="F208" s="264"/>
      <c r="G208" s="264"/>
      <c r="H208" s="274"/>
      <c r="I208" s="274"/>
      <c r="J208" s="274"/>
      <c r="K208" s="274"/>
      <c r="L208" s="274"/>
      <c r="M208" s="274"/>
      <c r="N208" s="275"/>
      <c r="O208" s="274"/>
      <c r="P208" s="274"/>
      <c r="Q208" s="274"/>
      <c r="R208" s="274"/>
      <c r="S208" s="274"/>
      <c r="T208" s="275"/>
      <c r="U208" s="274"/>
      <c r="V208" s="264"/>
      <c r="W208" s="264"/>
      <c r="X208" s="264"/>
      <c r="Y208" s="274"/>
      <c r="Z208" s="275"/>
      <c r="AA208" s="274"/>
      <c r="AB208" s="274"/>
      <c r="AC208" s="274"/>
      <c r="AD208" s="274"/>
      <c r="AE208" s="274"/>
      <c r="AF208" s="274"/>
      <c r="AG208" s="264"/>
      <c r="AH208" s="264"/>
      <c r="AI208" s="264"/>
      <c r="AJ208" s="274"/>
      <c r="AK208" s="264"/>
      <c r="AL208" s="264"/>
      <c r="AM208" s="264"/>
      <c r="AN208" s="27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row>
    <row r="209" spans="1:90" x14ac:dyDescent="0.25">
      <c r="A209" s="253"/>
      <c r="B209" s="254"/>
      <c r="C209" s="254"/>
      <c r="D209" s="264"/>
      <c r="E209" s="264"/>
      <c r="F209" s="264"/>
      <c r="G209" s="264"/>
      <c r="H209" s="274"/>
      <c r="I209" s="274"/>
      <c r="J209" s="274"/>
      <c r="K209" s="274"/>
      <c r="L209" s="274"/>
      <c r="M209" s="274"/>
      <c r="N209" s="275"/>
      <c r="O209" s="274"/>
      <c r="P209" s="274"/>
      <c r="Q209" s="274"/>
      <c r="R209" s="274"/>
      <c r="S209" s="274"/>
      <c r="T209" s="275"/>
      <c r="U209" s="274"/>
      <c r="V209" s="264"/>
      <c r="W209" s="264"/>
      <c r="X209" s="264"/>
      <c r="Y209" s="274"/>
      <c r="Z209" s="275"/>
      <c r="AA209" s="274"/>
      <c r="AB209" s="274"/>
      <c r="AC209" s="274"/>
      <c r="AD209" s="274"/>
      <c r="AE209" s="274"/>
      <c r="AF209" s="274"/>
      <c r="AG209" s="264"/>
      <c r="AH209" s="264"/>
      <c r="AI209" s="264"/>
      <c r="AJ209" s="274"/>
      <c r="AK209" s="264"/>
      <c r="AL209" s="264"/>
      <c r="AM209" s="264"/>
      <c r="AN209" s="27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row>
    <row r="210" spans="1:90" x14ac:dyDescent="0.25">
      <c r="A210" s="253"/>
      <c r="B210" s="254"/>
      <c r="C210" s="254"/>
      <c r="D210" s="264"/>
      <c r="E210" s="264"/>
      <c r="F210" s="264"/>
      <c r="G210" s="264"/>
      <c r="H210" s="272"/>
      <c r="I210" s="272"/>
      <c r="J210" s="272"/>
      <c r="K210" s="272"/>
      <c r="L210" s="272"/>
      <c r="M210" s="272"/>
      <c r="N210" s="273"/>
      <c r="O210" s="272"/>
      <c r="P210" s="272"/>
      <c r="Q210" s="272"/>
      <c r="R210" s="272"/>
      <c r="S210" s="272"/>
      <c r="T210" s="273"/>
      <c r="U210" s="272"/>
      <c r="V210" s="264"/>
      <c r="W210" s="264"/>
      <c r="X210" s="264"/>
      <c r="Y210" s="272"/>
      <c r="Z210" s="273"/>
      <c r="AA210" s="272"/>
      <c r="AB210" s="272"/>
      <c r="AC210" s="272"/>
      <c r="AD210" s="272"/>
      <c r="AE210" s="272"/>
      <c r="AF210" s="272"/>
      <c r="AG210" s="264"/>
      <c r="AH210" s="264"/>
      <c r="AI210" s="264"/>
      <c r="AJ210" s="272"/>
      <c r="AK210" s="264"/>
      <c r="AL210" s="264"/>
      <c r="AM210" s="264"/>
      <c r="AN210" s="272"/>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row>
    <row r="211" spans="1:90" x14ac:dyDescent="0.25">
      <c r="A211" s="253"/>
      <c r="B211" s="254"/>
      <c r="C211" s="254"/>
      <c r="D211" s="264"/>
      <c r="E211" s="264"/>
      <c r="F211" s="264"/>
      <c r="G211" s="264"/>
      <c r="H211" s="272"/>
      <c r="I211" s="272"/>
      <c r="J211" s="272"/>
      <c r="K211" s="272"/>
      <c r="L211" s="272"/>
      <c r="M211" s="272"/>
      <c r="N211" s="273"/>
      <c r="O211" s="272"/>
      <c r="P211" s="272"/>
      <c r="Q211" s="272"/>
      <c r="R211" s="272"/>
      <c r="S211" s="272"/>
      <c r="T211" s="273"/>
      <c r="U211" s="272"/>
      <c r="V211" s="264"/>
      <c r="W211" s="264"/>
      <c r="X211" s="264"/>
      <c r="Y211" s="272"/>
      <c r="Z211" s="273"/>
      <c r="AA211" s="272"/>
      <c r="AB211" s="272"/>
      <c r="AC211" s="272"/>
      <c r="AD211" s="272"/>
      <c r="AE211" s="272"/>
      <c r="AF211" s="272"/>
      <c r="AG211" s="264"/>
      <c r="AH211" s="264"/>
      <c r="AI211" s="264"/>
      <c r="AJ211" s="272"/>
      <c r="AK211" s="264"/>
      <c r="AL211" s="264"/>
      <c r="AM211" s="264"/>
      <c r="AN211" s="272"/>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row>
    <row r="212" spans="1:90" x14ac:dyDescent="0.25">
      <c r="A212" s="253"/>
      <c r="B212" s="254"/>
      <c r="C212" s="254"/>
      <c r="D212" s="264"/>
      <c r="E212" s="264"/>
      <c r="F212" s="264"/>
      <c r="G212" s="264"/>
      <c r="H212" s="272"/>
      <c r="I212" s="272"/>
      <c r="J212" s="272"/>
      <c r="K212" s="272"/>
      <c r="L212" s="272"/>
      <c r="M212" s="272"/>
      <c r="N212" s="273"/>
      <c r="O212" s="272"/>
      <c r="P212" s="272"/>
      <c r="Q212" s="272"/>
      <c r="R212" s="272"/>
      <c r="S212" s="272"/>
      <c r="T212" s="273"/>
      <c r="U212" s="272"/>
      <c r="V212" s="264"/>
      <c r="W212" s="264"/>
      <c r="X212" s="264"/>
      <c r="Y212" s="272"/>
      <c r="Z212" s="273"/>
      <c r="AA212" s="272"/>
      <c r="AB212" s="272"/>
      <c r="AC212" s="272"/>
      <c r="AD212" s="272"/>
      <c r="AE212" s="272"/>
      <c r="AF212" s="272"/>
      <c r="AG212" s="264"/>
      <c r="AH212" s="264"/>
      <c r="AI212" s="264"/>
      <c r="AJ212" s="272"/>
      <c r="AK212" s="264"/>
      <c r="AL212" s="264"/>
      <c r="AM212" s="264"/>
      <c r="AN212" s="272"/>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row>
    <row r="213" spans="1:90" x14ac:dyDescent="0.25">
      <c r="A213" s="253"/>
      <c r="B213" s="254"/>
      <c r="C213" s="254"/>
      <c r="D213" s="264"/>
      <c r="E213" s="264"/>
      <c r="F213" s="264"/>
      <c r="G213" s="264"/>
      <c r="H213" s="272"/>
      <c r="I213" s="272"/>
      <c r="J213" s="272"/>
      <c r="K213" s="272"/>
      <c r="L213" s="272"/>
      <c r="M213" s="272"/>
      <c r="N213" s="273"/>
      <c r="O213" s="272"/>
      <c r="P213" s="272"/>
      <c r="Q213" s="272"/>
      <c r="R213" s="272"/>
      <c r="S213" s="272"/>
      <c r="T213" s="273"/>
      <c r="U213" s="272"/>
      <c r="V213" s="264"/>
      <c r="W213" s="264"/>
      <c r="X213" s="264"/>
      <c r="Y213" s="272"/>
      <c r="Z213" s="273"/>
      <c r="AA213" s="272"/>
      <c r="AB213" s="272"/>
      <c r="AC213" s="272"/>
      <c r="AD213" s="272"/>
      <c r="AE213" s="272"/>
      <c r="AF213" s="272"/>
      <c r="AG213" s="264"/>
      <c r="AH213" s="264"/>
      <c r="AI213" s="264"/>
      <c r="AJ213" s="272"/>
      <c r="AK213" s="264"/>
      <c r="AL213" s="264"/>
      <c r="AM213" s="264"/>
      <c r="AN213" s="272"/>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row>
    <row r="214" spans="1:90" x14ac:dyDescent="0.25">
      <c r="A214" s="253"/>
      <c r="B214" s="254"/>
      <c r="C214" s="254"/>
      <c r="D214" s="264"/>
      <c r="E214" s="264"/>
      <c r="F214" s="264"/>
      <c r="G214" s="264"/>
      <c r="H214" s="272"/>
      <c r="I214" s="272"/>
      <c r="J214" s="272"/>
      <c r="K214" s="272"/>
      <c r="L214" s="272"/>
      <c r="M214" s="272"/>
      <c r="N214" s="273"/>
      <c r="O214" s="272"/>
      <c r="P214" s="272"/>
      <c r="Q214" s="272"/>
      <c r="R214" s="272"/>
      <c r="S214" s="272"/>
      <c r="T214" s="273"/>
      <c r="U214" s="272"/>
      <c r="V214" s="264"/>
      <c r="W214" s="264"/>
      <c r="X214" s="264"/>
      <c r="Y214" s="272"/>
      <c r="Z214" s="273"/>
      <c r="AA214" s="272"/>
      <c r="AB214" s="272"/>
      <c r="AC214" s="272"/>
      <c r="AD214" s="272"/>
      <c r="AE214" s="272"/>
      <c r="AF214" s="272"/>
      <c r="AG214" s="264"/>
      <c r="AH214" s="264"/>
      <c r="AI214" s="264"/>
      <c r="AJ214" s="272"/>
      <c r="AK214" s="264"/>
      <c r="AL214" s="264"/>
      <c r="AM214" s="264"/>
      <c r="AN214" s="272"/>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row>
    <row r="215" spans="1:90" x14ac:dyDescent="0.25">
      <c r="A215" s="258"/>
      <c r="B215" s="259"/>
      <c r="C215" s="259"/>
      <c r="D215" s="269"/>
      <c r="E215" s="269"/>
      <c r="F215" s="269"/>
      <c r="G215" s="269"/>
      <c r="H215" s="272"/>
      <c r="I215" s="272"/>
      <c r="J215" s="272"/>
      <c r="K215" s="272"/>
      <c r="L215" s="272"/>
      <c r="M215" s="272"/>
      <c r="N215" s="273"/>
      <c r="O215" s="272"/>
      <c r="P215" s="272"/>
      <c r="Q215" s="272"/>
      <c r="R215" s="272"/>
      <c r="S215" s="272"/>
      <c r="T215" s="273"/>
      <c r="U215" s="272"/>
      <c r="V215" s="269"/>
      <c r="W215" s="269"/>
      <c r="X215" s="269"/>
      <c r="Y215" s="272"/>
      <c r="Z215" s="273"/>
      <c r="AA215" s="272"/>
      <c r="AB215" s="272"/>
      <c r="AC215" s="272"/>
      <c r="AD215" s="272"/>
      <c r="AE215" s="272"/>
      <c r="AF215" s="272"/>
      <c r="AG215" s="269"/>
      <c r="AH215" s="269"/>
      <c r="AI215" s="269"/>
      <c r="AJ215" s="272"/>
      <c r="AK215" s="269"/>
      <c r="AL215" s="269"/>
      <c r="AM215" s="269"/>
      <c r="AN215" s="272"/>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row>
    <row r="216" spans="1:90" x14ac:dyDescent="0.25">
      <c r="A216" s="258"/>
      <c r="B216" s="259"/>
      <c r="C216" s="259"/>
      <c r="D216" s="269"/>
      <c r="E216" s="269"/>
      <c r="F216" s="269"/>
      <c r="G216" s="269"/>
      <c r="H216" s="272"/>
      <c r="I216" s="272"/>
      <c r="J216" s="272"/>
      <c r="K216" s="272"/>
      <c r="L216" s="272"/>
      <c r="M216" s="272"/>
      <c r="N216" s="273"/>
      <c r="O216" s="272"/>
      <c r="P216" s="272"/>
      <c r="Q216" s="272"/>
      <c r="R216" s="272"/>
      <c r="S216" s="272"/>
      <c r="T216" s="273"/>
      <c r="U216" s="272"/>
      <c r="V216" s="269"/>
      <c r="W216" s="269"/>
      <c r="X216" s="269"/>
      <c r="Y216" s="272"/>
      <c r="Z216" s="273"/>
      <c r="AA216" s="272"/>
      <c r="AB216" s="272"/>
      <c r="AC216" s="272"/>
      <c r="AD216" s="272"/>
      <c r="AE216" s="272"/>
      <c r="AF216" s="272"/>
      <c r="AG216" s="269"/>
      <c r="AH216" s="269"/>
      <c r="AI216" s="269"/>
      <c r="AJ216" s="272"/>
      <c r="AK216" s="269"/>
      <c r="AL216" s="269"/>
      <c r="AM216" s="269"/>
      <c r="AN216" s="272"/>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row>
    <row r="217" spans="1:90" x14ac:dyDescent="0.25">
      <c r="A217" s="4"/>
      <c r="B217" s="274"/>
      <c r="C217" s="274"/>
      <c r="D217" s="5"/>
      <c r="E217" s="5"/>
      <c r="F217" s="5"/>
      <c r="G217" s="5"/>
      <c r="H217" s="272"/>
      <c r="I217" s="272"/>
      <c r="J217" s="272"/>
      <c r="K217" s="272"/>
      <c r="L217" s="272"/>
      <c r="M217" s="272"/>
      <c r="N217" s="273"/>
      <c r="O217" s="272"/>
      <c r="P217" s="272"/>
      <c r="Q217" s="272"/>
      <c r="R217" s="272"/>
      <c r="S217" s="272"/>
      <c r="T217" s="273"/>
      <c r="U217" s="272"/>
      <c r="V217" s="5"/>
      <c r="W217" s="5"/>
      <c r="X217" s="5"/>
      <c r="Y217" s="272"/>
      <c r="Z217" s="273"/>
      <c r="AA217" s="272"/>
      <c r="AB217" s="272"/>
      <c r="AC217" s="272"/>
      <c r="AD217" s="272"/>
      <c r="AE217" s="272"/>
      <c r="AF217" s="272"/>
      <c r="AG217" s="5"/>
      <c r="AH217" s="5"/>
      <c r="AI217" s="5"/>
      <c r="AJ217" s="272"/>
      <c r="AK217" s="5"/>
      <c r="AL217" s="5"/>
      <c r="AM217" s="5"/>
      <c r="AN217" s="272"/>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row>
    <row r="218" spans="1:90" x14ac:dyDescent="0.25">
      <c r="A218" s="4"/>
      <c r="B218" s="276"/>
      <c r="C218" s="276"/>
      <c r="D218" s="276"/>
      <c r="E218" s="276"/>
      <c r="F218" s="276"/>
      <c r="G218" s="276"/>
      <c r="H218" s="272"/>
      <c r="I218" s="272"/>
      <c r="J218" s="272"/>
      <c r="K218" s="272"/>
      <c r="L218" s="272"/>
      <c r="M218" s="272"/>
      <c r="N218" s="273"/>
      <c r="O218" s="272"/>
      <c r="P218" s="272"/>
      <c r="Q218" s="272"/>
      <c r="R218" s="272"/>
      <c r="S218" s="272"/>
      <c r="T218" s="273"/>
      <c r="U218" s="272"/>
      <c r="V218" s="276"/>
      <c r="W218" s="276"/>
      <c r="X218" s="276"/>
      <c r="Y218" s="272"/>
      <c r="Z218" s="273"/>
      <c r="AA218" s="272"/>
      <c r="AB218" s="272"/>
      <c r="AC218" s="272"/>
      <c r="AD218" s="272"/>
      <c r="AE218" s="272"/>
      <c r="AF218" s="272"/>
      <c r="AG218" s="276"/>
      <c r="AH218" s="276"/>
      <c r="AI218" s="276"/>
      <c r="AJ218" s="272"/>
      <c r="AK218" s="276"/>
      <c r="AL218" s="276"/>
      <c r="AM218" s="276"/>
      <c r="AN218" s="272"/>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row>
    <row r="219" spans="1:90" x14ac:dyDescent="0.25">
      <c r="A219" s="4"/>
      <c r="B219" s="274"/>
      <c r="C219" s="274"/>
      <c r="D219" s="5"/>
      <c r="E219" s="5"/>
      <c r="F219" s="5"/>
      <c r="G219" s="5"/>
      <c r="H219" s="272"/>
      <c r="I219" s="272"/>
      <c r="J219" s="272"/>
      <c r="K219" s="272"/>
      <c r="L219" s="272"/>
      <c r="M219" s="272"/>
      <c r="N219" s="273"/>
      <c r="O219" s="272"/>
      <c r="P219" s="272"/>
      <c r="Q219" s="272"/>
      <c r="R219" s="272"/>
      <c r="S219" s="272"/>
      <c r="T219" s="273"/>
      <c r="U219" s="272"/>
      <c r="V219" s="5"/>
      <c r="W219" s="5"/>
      <c r="X219" s="5"/>
      <c r="Y219" s="272"/>
      <c r="Z219" s="273"/>
      <c r="AA219" s="272"/>
      <c r="AB219" s="272"/>
      <c r="AC219" s="272"/>
      <c r="AD219" s="272"/>
      <c r="AE219" s="272"/>
      <c r="AF219" s="272"/>
      <c r="AG219" s="5"/>
      <c r="AH219" s="5"/>
      <c r="AI219" s="5"/>
      <c r="AJ219" s="272"/>
      <c r="AK219" s="5"/>
      <c r="AL219" s="5"/>
      <c r="AM219" s="5"/>
      <c r="AN219" s="272"/>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row>
    <row r="220" spans="1:90" x14ac:dyDescent="0.25">
      <c r="A220" s="4"/>
      <c r="B220" s="276"/>
      <c r="C220" s="276"/>
      <c r="D220" s="276"/>
      <c r="E220" s="276"/>
      <c r="F220" s="276"/>
      <c r="G220" s="276"/>
      <c r="H220" s="272"/>
      <c r="I220" s="272"/>
      <c r="J220" s="272"/>
      <c r="K220" s="272"/>
      <c r="L220" s="272"/>
      <c r="M220" s="272"/>
      <c r="N220" s="273"/>
      <c r="O220" s="272"/>
      <c r="P220" s="272"/>
      <c r="Q220" s="272"/>
      <c r="R220" s="272"/>
      <c r="S220" s="272"/>
      <c r="T220" s="273"/>
      <c r="U220" s="272"/>
      <c r="V220" s="276"/>
      <c r="W220" s="276"/>
      <c r="X220" s="276"/>
      <c r="Y220" s="272"/>
      <c r="Z220" s="273"/>
      <c r="AA220" s="272"/>
      <c r="AB220" s="272"/>
      <c r="AC220" s="272"/>
      <c r="AD220" s="272"/>
      <c r="AE220" s="272"/>
      <c r="AF220" s="272"/>
      <c r="AG220" s="276"/>
      <c r="AH220" s="276"/>
      <c r="AI220" s="276"/>
      <c r="AJ220" s="272"/>
      <c r="AK220" s="276"/>
      <c r="AL220" s="276"/>
      <c r="AM220" s="276"/>
      <c r="AN220" s="272"/>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row>
    <row r="221" spans="1:90" x14ac:dyDescent="0.25">
      <c r="A221" s="4"/>
      <c r="B221" s="274"/>
      <c r="C221" s="274"/>
      <c r="D221" s="5"/>
      <c r="E221" s="5"/>
      <c r="F221" s="5"/>
      <c r="G221" s="5"/>
      <c r="H221" s="272"/>
      <c r="I221" s="272"/>
      <c r="J221" s="272"/>
      <c r="K221" s="272"/>
      <c r="L221" s="272"/>
      <c r="M221" s="272"/>
      <c r="N221" s="273"/>
      <c r="O221" s="272"/>
      <c r="P221" s="272"/>
      <c r="Q221" s="272"/>
      <c r="R221" s="272"/>
      <c r="S221" s="272"/>
      <c r="T221" s="273"/>
      <c r="U221" s="272"/>
      <c r="V221" s="5"/>
      <c r="W221" s="5"/>
      <c r="X221" s="5"/>
      <c r="Y221" s="272"/>
      <c r="Z221" s="273"/>
      <c r="AA221" s="272"/>
      <c r="AB221" s="272"/>
      <c r="AC221" s="272"/>
      <c r="AD221" s="272"/>
      <c r="AE221" s="272"/>
      <c r="AF221" s="272"/>
      <c r="AG221" s="5"/>
      <c r="AH221" s="5"/>
      <c r="AI221" s="5"/>
      <c r="AJ221" s="272"/>
      <c r="AK221" s="5"/>
      <c r="AL221" s="5"/>
      <c r="AM221" s="5"/>
      <c r="AN221" s="272"/>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row>
    <row r="222" spans="1:90" x14ac:dyDescent="0.25">
      <c r="A222" s="4"/>
      <c r="B222" s="274"/>
      <c r="C222" s="274"/>
      <c r="D222" s="5"/>
      <c r="E222" s="5"/>
      <c r="F222" s="5"/>
      <c r="G222" s="5"/>
      <c r="H222" s="272"/>
      <c r="I222" s="272"/>
      <c r="J222" s="272"/>
      <c r="K222" s="272"/>
      <c r="L222" s="272"/>
      <c r="M222" s="272"/>
      <c r="N222" s="273"/>
      <c r="O222" s="272"/>
      <c r="P222" s="272"/>
      <c r="Q222" s="272"/>
      <c r="R222" s="272"/>
      <c r="S222" s="272"/>
      <c r="T222" s="273"/>
      <c r="U222" s="272"/>
      <c r="V222" s="5"/>
      <c r="W222" s="5"/>
      <c r="X222" s="5"/>
      <c r="Y222" s="272"/>
      <c r="Z222" s="273"/>
      <c r="AA222" s="272"/>
      <c r="AB222" s="272"/>
      <c r="AC222" s="272"/>
      <c r="AD222" s="272"/>
      <c r="AE222" s="272"/>
      <c r="AF222" s="272"/>
      <c r="AG222" s="5"/>
      <c r="AH222" s="5"/>
      <c r="AI222" s="5"/>
      <c r="AJ222" s="272"/>
      <c r="AK222" s="5"/>
      <c r="AL222" s="5"/>
      <c r="AM222" s="5"/>
      <c r="AN222" s="272"/>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row>
    <row r="223" spans="1:90" x14ac:dyDescent="0.25">
      <c r="A223" s="4"/>
      <c r="B223" s="274"/>
      <c r="C223" s="274"/>
      <c r="D223" s="5"/>
      <c r="E223" s="5"/>
      <c r="F223" s="5"/>
      <c r="G223" s="5"/>
      <c r="H223" s="272"/>
      <c r="I223" s="272"/>
      <c r="J223" s="272"/>
      <c r="K223" s="272"/>
      <c r="L223" s="272"/>
      <c r="M223" s="272"/>
      <c r="N223" s="273"/>
      <c r="O223" s="272"/>
      <c r="P223" s="272"/>
      <c r="Q223" s="272"/>
      <c r="R223" s="272"/>
      <c r="S223" s="272"/>
      <c r="T223" s="273"/>
      <c r="U223" s="272"/>
      <c r="V223" s="5"/>
      <c r="W223" s="5"/>
      <c r="X223" s="5"/>
      <c r="Y223" s="272"/>
      <c r="Z223" s="273"/>
      <c r="AA223" s="272"/>
      <c r="AB223" s="272"/>
      <c r="AC223" s="272"/>
      <c r="AD223" s="272"/>
      <c r="AE223" s="272"/>
      <c r="AF223" s="272"/>
      <c r="AG223" s="5"/>
      <c r="AH223" s="5"/>
      <c r="AI223" s="5"/>
      <c r="AJ223" s="272"/>
      <c r="AK223" s="5"/>
      <c r="AL223" s="5"/>
      <c r="AM223" s="5"/>
      <c r="AN223" s="272"/>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row>
    <row r="224" spans="1:90" x14ac:dyDescent="0.25">
      <c r="A224" s="4"/>
      <c r="B224" s="274"/>
      <c r="C224" s="274"/>
      <c r="D224" s="5"/>
      <c r="E224" s="5"/>
      <c r="F224" s="5"/>
      <c r="G224" s="5"/>
      <c r="H224" s="272"/>
      <c r="I224" s="272"/>
      <c r="J224" s="272"/>
      <c r="K224" s="272"/>
      <c r="L224" s="272"/>
      <c r="M224" s="272"/>
      <c r="N224" s="273"/>
      <c r="O224" s="272"/>
      <c r="P224" s="272"/>
      <c r="Q224" s="272"/>
      <c r="R224" s="272"/>
      <c r="S224" s="272"/>
      <c r="T224" s="273"/>
      <c r="U224" s="272"/>
      <c r="V224" s="5"/>
      <c r="W224" s="5"/>
      <c r="X224" s="5"/>
      <c r="Y224" s="272"/>
      <c r="Z224" s="273"/>
      <c r="AA224" s="272"/>
      <c r="AB224" s="272"/>
      <c r="AC224" s="272"/>
      <c r="AD224" s="272"/>
      <c r="AE224" s="272"/>
      <c r="AF224" s="272"/>
      <c r="AG224" s="5"/>
      <c r="AH224" s="5"/>
      <c r="AI224" s="5"/>
      <c r="AJ224" s="272"/>
      <c r="AK224" s="5"/>
      <c r="AL224" s="5"/>
      <c r="AM224" s="5"/>
      <c r="AN224" s="272"/>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row>
    <row r="225" spans="1:90" x14ac:dyDescent="0.25">
      <c r="A225" s="4"/>
      <c r="B225" s="276"/>
      <c r="C225" s="276"/>
      <c r="D225" s="276"/>
      <c r="E225" s="276"/>
      <c r="F225" s="276"/>
      <c r="G225" s="276"/>
      <c r="H225" s="272"/>
      <c r="I225" s="272"/>
      <c r="J225" s="272"/>
      <c r="K225" s="272"/>
      <c r="L225" s="272"/>
      <c r="M225" s="272"/>
      <c r="N225" s="273"/>
      <c r="O225" s="272"/>
      <c r="P225" s="272"/>
      <c r="Q225" s="272"/>
      <c r="R225" s="272"/>
      <c r="S225" s="272"/>
      <c r="T225" s="273"/>
      <c r="U225" s="272"/>
      <c r="V225" s="276"/>
      <c r="W225" s="276"/>
      <c r="X225" s="276"/>
      <c r="Y225" s="272"/>
      <c r="Z225" s="273"/>
      <c r="AA225" s="272"/>
      <c r="AB225" s="272"/>
      <c r="AC225" s="272"/>
      <c r="AD225" s="272"/>
      <c r="AE225" s="272"/>
      <c r="AF225" s="272"/>
      <c r="AG225" s="276"/>
      <c r="AH225" s="276"/>
      <c r="AI225" s="276"/>
      <c r="AJ225" s="272"/>
      <c r="AK225" s="276"/>
      <c r="AL225" s="276"/>
      <c r="AM225" s="276"/>
      <c r="AN225" s="272"/>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row>
    <row r="226" spans="1:90" x14ac:dyDescent="0.25">
      <c r="A226" s="4"/>
      <c r="B226" s="274"/>
      <c r="C226" s="274"/>
      <c r="D226" s="5"/>
      <c r="E226" s="5"/>
      <c r="F226" s="5"/>
      <c r="G226" s="5"/>
      <c r="H226" s="272"/>
      <c r="I226" s="272"/>
      <c r="J226" s="272"/>
      <c r="K226" s="272"/>
      <c r="L226" s="272"/>
      <c r="M226" s="272"/>
      <c r="N226" s="273"/>
      <c r="O226" s="272"/>
      <c r="P226" s="272"/>
      <c r="Q226" s="272"/>
      <c r="R226" s="272"/>
      <c r="S226" s="272"/>
      <c r="T226" s="273"/>
      <c r="U226" s="272"/>
      <c r="V226" s="5"/>
      <c r="W226" s="5"/>
      <c r="X226" s="5"/>
      <c r="Y226" s="272"/>
      <c r="Z226" s="273"/>
      <c r="AA226" s="272"/>
      <c r="AB226" s="272"/>
      <c r="AC226" s="272"/>
      <c r="AD226" s="272"/>
      <c r="AE226" s="272"/>
      <c r="AF226" s="272"/>
      <c r="AG226" s="5"/>
      <c r="AH226" s="5"/>
      <c r="AI226" s="5"/>
      <c r="AJ226" s="272"/>
      <c r="AK226" s="5"/>
      <c r="AL226" s="5"/>
      <c r="AM226" s="5"/>
      <c r="AN226" s="272"/>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row>
    <row r="227" spans="1:90" x14ac:dyDescent="0.25">
      <c r="A227" s="4"/>
      <c r="B227" s="274"/>
      <c r="C227" s="274"/>
      <c r="D227" s="5"/>
      <c r="E227" s="5"/>
      <c r="F227" s="5"/>
      <c r="G227" s="5"/>
      <c r="H227" s="272"/>
      <c r="I227" s="272"/>
      <c r="J227" s="272"/>
      <c r="K227" s="272"/>
      <c r="L227" s="272"/>
      <c r="M227" s="272"/>
      <c r="N227" s="273"/>
      <c r="O227" s="272"/>
      <c r="P227" s="272"/>
      <c r="Q227" s="272"/>
      <c r="R227" s="272"/>
      <c r="S227" s="272"/>
      <c r="T227" s="273"/>
      <c r="U227" s="272"/>
      <c r="V227" s="5"/>
      <c r="W227" s="5"/>
      <c r="X227" s="5"/>
      <c r="Y227" s="272"/>
      <c r="Z227" s="273"/>
      <c r="AA227" s="272"/>
      <c r="AB227" s="272"/>
      <c r="AC227" s="272"/>
      <c r="AD227" s="272"/>
      <c r="AE227" s="272"/>
      <c r="AF227" s="272"/>
      <c r="AG227" s="5"/>
      <c r="AH227" s="5"/>
      <c r="AI227" s="5"/>
      <c r="AJ227" s="272"/>
      <c r="AK227" s="5"/>
      <c r="AL227" s="5"/>
      <c r="AM227" s="5"/>
      <c r="AN227" s="272"/>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row>
    <row r="228" spans="1:90" x14ac:dyDescent="0.25">
      <c r="A228" s="4"/>
      <c r="B228" s="274"/>
      <c r="C228" s="274"/>
      <c r="D228" s="5"/>
      <c r="E228" s="5"/>
      <c r="F228" s="5"/>
      <c r="G228" s="5"/>
      <c r="H228" s="272"/>
      <c r="I228" s="272"/>
      <c r="J228" s="272"/>
      <c r="K228" s="272"/>
      <c r="L228" s="272"/>
      <c r="M228" s="272"/>
      <c r="N228" s="273"/>
      <c r="O228" s="272"/>
      <c r="P228" s="272"/>
      <c r="Q228" s="272"/>
      <c r="R228" s="272"/>
      <c r="S228" s="272"/>
      <c r="T228" s="273"/>
      <c r="U228" s="272"/>
      <c r="V228" s="5"/>
      <c r="W228" s="5"/>
      <c r="X228" s="5"/>
      <c r="Y228" s="272"/>
      <c r="Z228" s="273"/>
      <c r="AA228" s="272"/>
      <c r="AB228" s="272"/>
      <c r="AC228" s="272"/>
      <c r="AD228" s="272"/>
      <c r="AE228" s="272"/>
      <c r="AF228" s="272"/>
      <c r="AG228" s="5"/>
      <c r="AH228" s="5"/>
      <c r="AI228" s="5"/>
      <c r="AJ228" s="272"/>
      <c r="AK228" s="5"/>
      <c r="AL228" s="5"/>
      <c r="AM228" s="5"/>
      <c r="AN228" s="272"/>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row>
    <row r="229" spans="1:90" x14ac:dyDescent="0.25">
      <c r="A229" s="4"/>
      <c r="B229" s="274"/>
      <c r="C229" s="274"/>
      <c r="D229" s="5"/>
      <c r="E229" s="5"/>
      <c r="F229" s="5"/>
      <c r="G229" s="5"/>
      <c r="H229" s="4"/>
      <c r="I229" s="4"/>
      <c r="J229" s="4"/>
      <c r="K229" s="4"/>
      <c r="L229" s="4"/>
      <c r="M229" s="4"/>
      <c r="N229" s="105"/>
      <c r="O229" s="4"/>
      <c r="P229" s="4"/>
      <c r="Q229" s="4"/>
      <c r="R229" s="4"/>
      <c r="S229" s="4"/>
      <c r="T229" s="105"/>
      <c r="U229" s="4"/>
      <c r="V229" s="5"/>
      <c r="W229" s="5"/>
      <c r="X229" s="5"/>
      <c r="Y229" s="4"/>
      <c r="Z229" s="105"/>
      <c r="AA229" s="4"/>
      <c r="AB229" s="4"/>
      <c r="AC229" s="4"/>
      <c r="AD229" s="4"/>
      <c r="AE229" s="4"/>
      <c r="AF229" s="4"/>
      <c r="AG229" s="5"/>
      <c r="AH229" s="5"/>
      <c r="AI229" s="5"/>
      <c r="AJ229" s="4"/>
      <c r="AK229" s="5"/>
      <c r="AL229" s="5"/>
      <c r="AM229" s="5"/>
      <c r="AN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row>
    <row r="230" spans="1:90" x14ac:dyDescent="0.25">
      <c r="A230" s="4"/>
      <c r="B230" s="276"/>
      <c r="C230" s="276"/>
      <c r="D230" s="277"/>
      <c r="E230" s="277"/>
      <c r="F230" s="277"/>
      <c r="G230" s="277"/>
      <c r="H230" s="4"/>
      <c r="I230" s="4"/>
      <c r="J230" s="4"/>
      <c r="K230" s="4"/>
      <c r="L230" s="4"/>
      <c r="M230" s="4"/>
      <c r="N230" s="105"/>
      <c r="O230" s="4"/>
      <c r="P230" s="4"/>
      <c r="Q230" s="4"/>
      <c r="R230" s="4"/>
      <c r="S230" s="4"/>
      <c r="T230" s="105"/>
      <c r="U230" s="4"/>
      <c r="V230" s="277"/>
      <c r="W230" s="277"/>
      <c r="X230" s="277"/>
      <c r="Y230" s="4"/>
      <c r="Z230" s="105"/>
      <c r="AA230" s="4"/>
      <c r="AB230" s="4"/>
      <c r="AC230" s="4"/>
      <c r="AD230" s="4"/>
      <c r="AE230" s="4"/>
      <c r="AF230" s="4"/>
      <c r="AG230" s="277"/>
      <c r="AH230" s="277"/>
      <c r="AI230" s="277"/>
      <c r="AJ230" s="4"/>
      <c r="AK230" s="277"/>
      <c r="AL230" s="277"/>
      <c r="AM230" s="277"/>
      <c r="AN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row>
    <row r="231" spans="1:90" x14ac:dyDescent="0.25">
      <c r="A231" s="4"/>
      <c r="B231" s="274"/>
      <c r="C231" s="274"/>
      <c r="D231" s="5"/>
      <c r="E231" s="5"/>
      <c r="F231" s="5"/>
      <c r="G231" s="5"/>
      <c r="H231" s="4"/>
      <c r="I231" s="4"/>
      <c r="J231" s="4"/>
      <c r="K231" s="4"/>
      <c r="L231" s="4"/>
      <c r="M231" s="4"/>
      <c r="N231" s="105"/>
      <c r="O231" s="4"/>
      <c r="P231" s="4"/>
      <c r="Q231" s="4"/>
      <c r="R231" s="4"/>
      <c r="S231" s="4"/>
      <c r="T231" s="105"/>
      <c r="U231" s="4"/>
      <c r="V231" s="5"/>
      <c r="W231" s="5"/>
      <c r="X231" s="5"/>
      <c r="Y231" s="4"/>
      <c r="Z231" s="105"/>
      <c r="AA231" s="4"/>
      <c r="AB231" s="4"/>
      <c r="AC231" s="4"/>
      <c r="AD231" s="4"/>
      <c r="AE231" s="4"/>
      <c r="AF231" s="4"/>
      <c r="AG231" s="5"/>
      <c r="AH231" s="5"/>
      <c r="AI231" s="5"/>
      <c r="AJ231" s="4"/>
      <c r="AK231" s="5"/>
      <c r="AL231" s="5"/>
      <c r="AM231" s="5"/>
      <c r="AN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row>
    <row r="232" spans="1:90" x14ac:dyDescent="0.25">
      <c r="A232" s="4"/>
      <c r="B232" s="274"/>
      <c r="C232" s="274"/>
      <c r="D232" s="5"/>
      <c r="E232" s="5"/>
      <c r="F232" s="5"/>
      <c r="G232" s="5"/>
      <c r="H232" s="4"/>
      <c r="I232" s="4"/>
      <c r="J232" s="4"/>
      <c r="K232" s="4"/>
      <c r="L232" s="4"/>
      <c r="M232" s="4"/>
      <c r="N232" s="105"/>
      <c r="O232" s="4"/>
      <c r="P232" s="4"/>
      <c r="Q232" s="4"/>
      <c r="R232" s="4"/>
      <c r="S232" s="4"/>
      <c r="T232" s="105"/>
      <c r="U232" s="4"/>
      <c r="V232" s="5"/>
      <c r="W232" s="5"/>
      <c r="X232" s="5"/>
      <c r="Y232" s="4"/>
      <c r="Z232" s="105"/>
      <c r="AA232" s="4"/>
      <c r="AB232" s="4"/>
      <c r="AC232" s="4"/>
      <c r="AD232" s="4"/>
      <c r="AE232" s="4"/>
      <c r="AF232" s="4"/>
      <c r="AG232" s="5"/>
      <c r="AH232" s="5"/>
      <c r="AI232" s="5"/>
      <c r="AJ232" s="4"/>
      <c r="AK232" s="5"/>
      <c r="AL232" s="5"/>
      <c r="AM232" s="5"/>
      <c r="AN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row>
    <row r="233" spans="1:90" x14ac:dyDescent="0.25">
      <c r="A233" s="4"/>
      <c r="B233" s="274"/>
      <c r="C233" s="274"/>
      <c r="D233" s="5"/>
      <c r="E233" s="5"/>
      <c r="F233" s="5"/>
      <c r="G233" s="5"/>
      <c r="H233" s="4"/>
      <c r="I233" s="4"/>
      <c r="J233" s="4"/>
      <c r="K233" s="4"/>
      <c r="L233" s="4"/>
      <c r="M233" s="4"/>
      <c r="N233" s="105"/>
      <c r="O233" s="4"/>
      <c r="P233" s="4"/>
      <c r="Q233" s="4"/>
      <c r="R233" s="4"/>
      <c r="S233" s="4"/>
      <c r="T233" s="105"/>
      <c r="U233" s="4"/>
      <c r="V233" s="5"/>
      <c r="W233" s="5"/>
      <c r="X233" s="5"/>
      <c r="Y233" s="4"/>
      <c r="Z233" s="105"/>
      <c r="AA233" s="4"/>
      <c r="AB233" s="4"/>
      <c r="AC233" s="4"/>
      <c r="AD233" s="4"/>
      <c r="AE233" s="4"/>
      <c r="AF233" s="4"/>
      <c r="AG233" s="5"/>
      <c r="AH233" s="5"/>
      <c r="AI233" s="5"/>
      <c r="AJ233" s="4"/>
      <c r="AK233" s="5"/>
      <c r="AL233" s="5"/>
      <c r="AM233" s="5"/>
      <c r="AN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row>
    <row r="234" spans="1:90" x14ac:dyDescent="0.25">
      <c r="A234" s="4"/>
      <c r="B234" s="274"/>
      <c r="C234" s="274"/>
      <c r="D234" s="5"/>
      <c r="E234" s="5"/>
      <c r="F234" s="5"/>
      <c r="G234" s="5"/>
      <c r="H234" s="4"/>
      <c r="I234" s="4"/>
      <c r="J234" s="4"/>
      <c r="K234" s="4"/>
      <c r="L234" s="4"/>
      <c r="M234" s="4"/>
      <c r="N234" s="105"/>
      <c r="O234" s="4"/>
      <c r="P234" s="4"/>
      <c r="Q234" s="4"/>
      <c r="R234" s="4"/>
      <c r="S234" s="4"/>
      <c r="T234" s="105"/>
      <c r="U234" s="4"/>
      <c r="V234" s="5"/>
      <c r="W234" s="5"/>
      <c r="X234" s="5"/>
      <c r="Y234" s="4"/>
      <c r="Z234" s="105"/>
      <c r="AA234" s="4"/>
      <c r="AB234" s="4"/>
      <c r="AC234" s="4"/>
      <c r="AD234" s="4"/>
      <c r="AE234" s="4"/>
      <c r="AF234" s="4"/>
      <c r="AG234" s="5"/>
      <c r="AH234" s="5"/>
      <c r="AI234" s="5"/>
      <c r="AJ234" s="4"/>
      <c r="AK234" s="5"/>
      <c r="AL234" s="5"/>
      <c r="AM234" s="5"/>
      <c r="AN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row>
    <row r="235" spans="1:90" x14ac:dyDescent="0.25">
      <c r="A235" s="4"/>
      <c r="B235" s="276"/>
      <c r="C235" s="276"/>
      <c r="D235" s="276"/>
      <c r="E235" s="276"/>
      <c r="F235" s="276"/>
      <c r="G235" s="276"/>
      <c r="H235" s="4"/>
      <c r="I235" s="4"/>
      <c r="J235" s="4"/>
      <c r="K235" s="4"/>
      <c r="L235" s="4"/>
      <c r="M235" s="4"/>
      <c r="N235" s="105"/>
      <c r="O235" s="4"/>
      <c r="P235" s="4"/>
      <c r="Q235" s="4"/>
      <c r="R235" s="4"/>
      <c r="S235" s="4"/>
      <c r="T235" s="105"/>
      <c r="U235" s="4"/>
      <c r="V235" s="276"/>
      <c r="W235" s="276"/>
      <c r="X235" s="276"/>
      <c r="Y235" s="4"/>
      <c r="Z235" s="105"/>
      <c r="AA235" s="4"/>
      <c r="AB235" s="4"/>
      <c r="AC235" s="4"/>
      <c r="AD235" s="4"/>
      <c r="AE235" s="4"/>
      <c r="AF235" s="4"/>
      <c r="AG235" s="276"/>
      <c r="AH235" s="276"/>
      <c r="AI235" s="276"/>
      <c r="AJ235" s="4"/>
      <c r="AK235" s="276"/>
      <c r="AL235" s="276"/>
      <c r="AM235" s="276"/>
      <c r="AN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row>
    <row r="236" spans="1:90" x14ac:dyDescent="0.25">
      <c r="A236" s="4"/>
      <c r="B236" s="274"/>
      <c r="C236" s="274"/>
      <c r="D236" s="5"/>
      <c r="E236" s="5"/>
      <c r="F236" s="5"/>
      <c r="G236" s="5"/>
      <c r="H236" s="4"/>
      <c r="I236" s="4"/>
      <c r="J236" s="4"/>
      <c r="K236" s="4"/>
      <c r="L236" s="4"/>
      <c r="M236" s="4"/>
      <c r="N236" s="105"/>
      <c r="O236" s="4"/>
      <c r="P236" s="4"/>
      <c r="Q236" s="4"/>
      <c r="R236" s="4"/>
      <c r="S236" s="4"/>
      <c r="T236" s="105"/>
      <c r="U236" s="4"/>
      <c r="V236" s="5"/>
      <c r="W236" s="5"/>
      <c r="X236" s="5"/>
      <c r="Y236" s="4"/>
      <c r="Z236" s="105"/>
      <c r="AA236" s="4"/>
      <c r="AB236" s="4"/>
      <c r="AC236" s="4"/>
      <c r="AD236" s="4"/>
      <c r="AE236" s="4"/>
      <c r="AF236" s="4"/>
      <c r="AG236" s="5"/>
      <c r="AH236" s="5"/>
      <c r="AI236" s="5"/>
      <c r="AJ236" s="4"/>
      <c r="AK236" s="5"/>
      <c r="AL236" s="5"/>
      <c r="AM236" s="5"/>
      <c r="AN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row>
    <row r="237" spans="1:90" x14ac:dyDescent="0.25">
      <c r="A237" s="4"/>
      <c r="B237" s="274"/>
      <c r="C237" s="274"/>
      <c r="D237" s="5"/>
      <c r="E237" s="5"/>
      <c r="F237" s="5"/>
      <c r="G237" s="5"/>
      <c r="H237" s="4"/>
      <c r="I237" s="4"/>
      <c r="J237" s="4"/>
      <c r="K237" s="4"/>
      <c r="L237" s="4"/>
      <c r="M237" s="4"/>
      <c r="N237" s="105"/>
      <c r="O237" s="4"/>
      <c r="P237" s="4"/>
      <c r="Q237" s="4"/>
      <c r="R237" s="4"/>
      <c r="S237" s="4"/>
      <c r="T237" s="105"/>
      <c r="U237" s="4"/>
      <c r="V237" s="5"/>
      <c r="W237" s="5"/>
      <c r="X237" s="5"/>
      <c r="Y237" s="4"/>
      <c r="Z237" s="105"/>
      <c r="AA237" s="4"/>
      <c r="AB237" s="4"/>
      <c r="AC237" s="4"/>
      <c r="AD237" s="4"/>
      <c r="AE237" s="4"/>
      <c r="AF237" s="4"/>
      <c r="AG237" s="5"/>
      <c r="AH237" s="5"/>
      <c r="AI237" s="5"/>
      <c r="AJ237" s="4"/>
      <c r="AK237" s="5"/>
      <c r="AL237" s="5"/>
      <c r="AM237" s="5"/>
      <c r="AN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row>
    <row r="238" spans="1:90" x14ac:dyDescent="0.25">
      <c r="A238" s="4"/>
      <c r="B238" s="274"/>
      <c r="C238" s="274"/>
      <c r="D238" s="5"/>
      <c r="E238" s="5"/>
      <c r="F238" s="5"/>
      <c r="G238" s="5"/>
      <c r="H238" s="4"/>
      <c r="I238" s="4"/>
      <c r="J238" s="4"/>
      <c r="K238" s="4"/>
      <c r="L238" s="4"/>
      <c r="M238" s="4"/>
      <c r="N238" s="105"/>
      <c r="O238" s="4"/>
      <c r="P238" s="4"/>
      <c r="Q238" s="4"/>
      <c r="R238" s="4"/>
      <c r="S238" s="4"/>
      <c r="T238" s="105"/>
      <c r="U238" s="4"/>
      <c r="V238" s="5"/>
      <c r="W238" s="5"/>
      <c r="X238" s="5"/>
      <c r="Y238" s="4"/>
      <c r="Z238" s="105"/>
      <c r="AA238" s="4"/>
      <c r="AB238" s="4"/>
      <c r="AC238" s="4"/>
      <c r="AD238" s="4"/>
      <c r="AE238" s="4"/>
      <c r="AF238" s="4"/>
      <c r="AG238" s="5"/>
      <c r="AH238" s="5"/>
      <c r="AI238" s="5"/>
      <c r="AJ238" s="4"/>
      <c r="AK238" s="5"/>
      <c r="AL238" s="5"/>
      <c r="AM238" s="5"/>
      <c r="AN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row>
    <row r="239" spans="1:90" x14ac:dyDescent="0.25">
      <c r="A239" s="4"/>
      <c r="B239" s="274"/>
      <c r="C239" s="274"/>
      <c r="D239" s="5"/>
      <c r="E239" s="5"/>
      <c r="F239" s="5"/>
      <c r="G239" s="5"/>
      <c r="H239" s="4"/>
      <c r="I239" s="4"/>
      <c r="J239" s="4"/>
      <c r="K239" s="4"/>
      <c r="L239" s="4"/>
      <c r="M239" s="4"/>
      <c r="N239" s="105"/>
      <c r="O239" s="4"/>
      <c r="P239" s="4"/>
      <c r="Q239" s="4"/>
      <c r="R239" s="4"/>
      <c r="S239" s="4"/>
      <c r="T239" s="105"/>
      <c r="U239" s="4"/>
      <c r="V239" s="5"/>
      <c r="W239" s="5"/>
      <c r="X239" s="5"/>
      <c r="Y239" s="4"/>
      <c r="Z239" s="105"/>
      <c r="AA239" s="4"/>
      <c r="AB239" s="4"/>
      <c r="AC239" s="4"/>
      <c r="AD239" s="4"/>
      <c r="AE239" s="4"/>
      <c r="AF239" s="4"/>
      <c r="AG239" s="5"/>
      <c r="AH239" s="5"/>
      <c r="AI239" s="5"/>
      <c r="AJ239" s="4"/>
      <c r="AK239" s="5"/>
      <c r="AL239" s="5"/>
      <c r="AM239" s="5"/>
      <c r="AN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row>
    <row r="240" spans="1:90" x14ac:dyDescent="0.25">
      <c r="A240" s="4"/>
      <c r="B240" s="276"/>
      <c r="C240" s="276"/>
      <c r="D240" s="276"/>
      <c r="E240" s="276"/>
      <c r="F240" s="276"/>
      <c r="G240" s="276"/>
      <c r="H240" s="4"/>
      <c r="I240" s="4"/>
      <c r="J240" s="4"/>
      <c r="K240" s="4"/>
      <c r="L240" s="4"/>
      <c r="M240" s="4"/>
      <c r="N240" s="105"/>
      <c r="O240" s="4"/>
      <c r="P240" s="4"/>
      <c r="Q240" s="4"/>
      <c r="R240" s="4"/>
      <c r="S240" s="4"/>
      <c r="T240" s="105"/>
      <c r="U240" s="4"/>
      <c r="V240" s="276"/>
      <c r="W240" s="276"/>
      <c r="X240" s="276"/>
      <c r="Y240" s="4"/>
      <c r="Z240" s="105"/>
      <c r="AA240" s="4"/>
      <c r="AB240" s="4"/>
      <c r="AC240" s="4"/>
      <c r="AD240" s="4"/>
      <c r="AE240" s="4"/>
      <c r="AF240" s="4"/>
      <c r="AG240" s="276"/>
      <c r="AH240" s="276"/>
      <c r="AI240" s="276"/>
      <c r="AJ240" s="4"/>
      <c r="AK240" s="276"/>
      <c r="AL240" s="276"/>
      <c r="AM240" s="276"/>
      <c r="AN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row>
    <row r="241" spans="1:90" x14ac:dyDescent="0.25">
      <c r="A241" s="4"/>
      <c r="B241" s="274"/>
      <c r="C241" s="274"/>
      <c r="D241" s="5"/>
      <c r="E241" s="5"/>
      <c r="F241" s="5"/>
      <c r="G241" s="5"/>
      <c r="H241" s="4"/>
      <c r="I241" s="4"/>
      <c r="J241" s="4"/>
      <c r="K241" s="4"/>
      <c r="L241" s="4"/>
      <c r="M241" s="4"/>
      <c r="N241" s="105"/>
      <c r="O241" s="4"/>
      <c r="P241" s="4"/>
      <c r="Q241" s="4"/>
      <c r="R241" s="4"/>
      <c r="S241" s="4"/>
      <c r="T241" s="105"/>
      <c r="U241" s="4"/>
      <c r="V241" s="5"/>
      <c r="W241" s="5"/>
      <c r="X241" s="5"/>
      <c r="Y241" s="4"/>
      <c r="Z241" s="105"/>
      <c r="AA241" s="4"/>
      <c r="AB241" s="4"/>
      <c r="AC241" s="4"/>
      <c r="AD241" s="4"/>
      <c r="AE241" s="4"/>
      <c r="AF241" s="4"/>
      <c r="AG241" s="5"/>
      <c r="AH241" s="5"/>
      <c r="AI241" s="5"/>
      <c r="AJ241" s="4"/>
      <c r="AK241" s="5"/>
      <c r="AL241" s="5"/>
      <c r="AM241" s="5"/>
      <c r="AN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row>
    <row r="242" spans="1:90" x14ac:dyDescent="0.25">
      <c r="A242" s="4"/>
      <c r="B242" s="274"/>
      <c r="C242" s="274"/>
      <c r="D242" s="5"/>
      <c r="E242" s="5"/>
      <c r="F242" s="5"/>
      <c r="G242" s="5"/>
      <c r="H242" s="4"/>
      <c r="I242" s="4"/>
      <c r="J242" s="4"/>
      <c r="K242" s="4"/>
      <c r="L242" s="4"/>
      <c r="M242" s="4"/>
      <c r="N242" s="105"/>
      <c r="O242" s="4"/>
      <c r="P242" s="4"/>
      <c r="Q242" s="4"/>
      <c r="R242" s="4"/>
      <c r="S242" s="4"/>
      <c r="T242" s="105"/>
      <c r="U242" s="4"/>
      <c r="V242" s="5"/>
      <c r="W242" s="5"/>
      <c r="X242" s="5"/>
      <c r="Y242" s="4"/>
      <c r="Z242" s="105"/>
      <c r="AA242" s="4"/>
      <c r="AB242" s="4"/>
      <c r="AC242" s="4"/>
      <c r="AD242" s="4"/>
      <c r="AE242" s="4"/>
      <c r="AF242" s="4"/>
      <c r="AG242" s="5"/>
      <c r="AH242" s="5"/>
      <c r="AI242" s="5"/>
      <c r="AJ242" s="4"/>
      <c r="AK242" s="5"/>
      <c r="AL242" s="5"/>
      <c r="AM242" s="5"/>
      <c r="AN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row>
    <row r="243" spans="1:90" x14ac:dyDescent="0.25">
      <c r="A243" s="4"/>
      <c r="B243" s="274"/>
      <c r="C243" s="274"/>
      <c r="D243" s="5"/>
      <c r="E243" s="5"/>
      <c r="F243" s="5"/>
      <c r="G243" s="5"/>
      <c r="H243" s="4"/>
      <c r="I243" s="4"/>
      <c r="J243" s="4"/>
      <c r="K243" s="4"/>
      <c r="L243" s="4"/>
      <c r="M243" s="4"/>
      <c r="N243" s="105"/>
      <c r="O243" s="4"/>
      <c r="P243" s="4"/>
      <c r="Q243" s="4"/>
      <c r="R243" s="4"/>
      <c r="S243" s="4"/>
      <c r="T243" s="105"/>
      <c r="U243" s="4"/>
      <c r="V243" s="5"/>
      <c r="W243" s="5"/>
      <c r="X243" s="5"/>
      <c r="Y243" s="4"/>
      <c r="Z243" s="105"/>
      <c r="AA243" s="4"/>
      <c r="AB243" s="4"/>
      <c r="AC243" s="4"/>
      <c r="AD243" s="4"/>
      <c r="AE243" s="4"/>
      <c r="AF243" s="4"/>
      <c r="AG243" s="5"/>
      <c r="AH243" s="5"/>
      <c r="AI243" s="5"/>
      <c r="AJ243" s="4"/>
      <c r="AK243" s="5"/>
      <c r="AL243" s="5"/>
      <c r="AM243" s="5"/>
      <c r="AN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row>
    <row r="244" spans="1:90" x14ac:dyDescent="0.25">
      <c r="A244" s="4"/>
      <c r="B244" s="274"/>
      <c r="C244" s="274"/>
      <c r="D244" s="5"/>
      <c r="E244" s="5"/>
      <c r="F244" s="5"/>
      <c r="G244" s="5"/>
      <c r="H244" s="4"/>
      <c r="I244" s="4"/>
      <c r="J244" s="4"/>
      <c r="K244" s="4"/>
      <c r="L244" s="4"/>
      <c r="M244" s="4"/>
      <c r="N244" s="105"/>
      <c r="O244" s="4"/>
      <c r="P244" s="4"/>
      <c r="Q244" s="4"/>
      <c r="R244" s="4"/>
      <c r="S244" s="4"/>
      <c r="T244" s="105"/>
      <c r="U244" s="4"/>
      <c r="V244" s="5"/>
      <c r="W244" s="5"/>
      <c r="X244" s="5"/>
      <c r="Y244" s="4"/>
      <c r="Z244" s="105"/>
      <c r="AA244" s="4"/>
      <c r="AB244" s="4"/>
      <c r="AC244" s="4"/>
      <c r="AD244" s="4"/>
      <c r="AE244" s="4"/>
      <c r="AF244" s="4"/>
      <c r="AG244" s="5"/>
      <c r="AH244" s="5"/>
      <c r="AI244" s="5"/>
      <c r="AJ244" s="4"/>
      <c r="AK244" s="5"/>
      <c r="AL244" s="5"/>
      <c r="AM244" s="5"/>
      <c r="AN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row>
    <row r="245" spans="1:90" x14ac:dyDescent="0.25">
      <c r="A245" s="4"/>
      <c r="B245" s="9"/>
      <c r="C245" s="9"/>
      <c r="D245" s="7"/>
      <c r="E245" s="7"/>
      <c r="F245" s="7"/>
      <c r="G245" s="7"/>
      <c r="H245" s="4"/>
      <c r="I245" s="4"/>
      <c r="J245" s="4"/>
      <c r="K245" s="4"/>
      <c r="L245" s="4"/>
      <c r="M245" s="4"/>
      <c r="N245" s="105"/>
      <c r="O245" s="4"/>
      <c r="P245" s="4"/>
      <c r="Q245" s="4"/>
      <c r="R245" s="4"/>
      <c r="S245" s="4"/>
      <c r="T245" s="105"/>
      <c r="U245" s="4"/>
      <c r="V245" s="7"/>
      <c r="W245" s="7"/>
      <c r="X245" s="7"/>
      <c r="Y245" s="4"/>
      <c r="Z245" s="105"/>
      <c r="AA245" s="4"/>
      <c r="AB245" s="4"/>
      <c r="AC245" s="4"/>
      <c r="AD245" s="4"/>
      <c r="AE245" s="4"/>
      <c r="AF245" s="4"/>
      <c r="AG245" s="7"/>
      <c r="AH245" s="7"/>
      <c r="AI245" s="7"/>
      <c r="AJ245" s="4"/>
      <c r="AK245" s="7"/>
      <c r="AL245" s="7"/>
      <c r="AM245" s="7"/>
      <c r="AN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row>
    <row r="246" spans="1:90" x14ac:dyDescent="0.25">
      <c r="A246" s="4"/>
      <c r="B246" s="278"/>
      <c r="C246" s="278"/>
      <c r="D246" s="279"/>
      <c r="E246" s="279"/>
      <c r="F246" s="279"/>
      <c r="G246" s="279"/>
      <c r="H246" s="4"/>
      <c r="I246" s="4"/>
      <c r="J246" s="4"/>
      <c r="K246" s="4"/>
      <c r="L246" s="4"/>
      <c r="M246" s="4"/>
      <c r="N246" s="105"/>
      <c r="O246" s="4"/>
      <c r="P246" s="4"/>
      <c r="Q246" s="4"/>
      <c r="R246" s="4"/>
      <c r="S246" s="4"/>
      <c r="T246" s="105"/>
      <c r="U246" s="4"/>
      <c r="V246" s="279"/>
      <c r="W246" s="279"/>
      <c r="X246" s="279"/>
      <c r="Y246" s="4"/>
      <c r="Z246" s="105"/>
      <c r="AA246" s="4"/>
      <c r="AB246" s="4"/>
      <c r="AC246" s="4"/>
      <c r="AD246" s="4"/>
      <c r="AE246" s="4"/>
      <c r="AF246" s="4"/>
      <c r="AG246" s="279"/>
      <c r="AH246" s="279"/>
      <c r="AI246" s="279"/>
      <c r="AJ246" s="4"/>
      <c r="AK246" s="279"/>
      <c r="AL246" s="279"/>
      <c r="AM246" s="279"/>
      <c r="AN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row>
    <row r="247" spans="1:90" x14ac:dyDescent="0.25">
      <c r="A247" s="4"/>
      <c r="B247" s="276"/>
      <c r="C247" s="276"/>
      <c r="D247" s="277"/>
      <c r="E247" s="277"/>
      <c r="F247" s="277"/>
      <c r="G247" s="277"/>
      <c r="H247" s="5"/>
      <c r="I247" s="5"/>
      <c r="J247" s="5"/>
      <c r="K247" s="5"/>
      <c r="L247" s="5"/>
      <c r="M247" s="5"/>
      <c r="N247" s="6"/>
      <c r="O247" s="5"/>
      <c r="P247" s="5"/>
      <c r="Q247" s="5"/>
      <c r="R247" s="5"/>
      <c r="S247" s="5"/>
      <c r="T247" s="6"/>
      <c r="U247" s="5"/>
      <c r="V247" s="277"/>
      <c r="W247" s="277"/>
      <c r="X247" s="277"/>
      <c r="Y247" s="5"/>
      <c r="Z247" s="6"/>
      <c r="AA247" s="5"/>
      <c r="AB247" s="5"/>
      <c r="AC247" s="5"/>
      <c r="AD247" s="5"/>
      <c r="AE247" s="5"/>
      <c r="AF247" s="5"/>
      <c r="AG247" s="277"/>
      <c r="AH247" s="277"/>
      <c r="AI247" s="277"/>
      <c r="AJ247" s="5"/>
      <c r="AK247" s="277"/>
      <c r="AL247" s="277"/>
      <c r="AM247" s="277"/>
      <c r="AN247" s="5"/>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row>
    <row r="248" spans="1:90" x14ac:dyDescent="0.25">
      <c r="A248" s="4"/>
      <c r="B248" s="274"/>
      <c r="C248" s="274"/>
      <c r="D248" s="5"/>
      <c r="E248" s="5"/>
      <c r="F248" s="5"/>
      <c r="G248" s="5"/>
      <c r="H248" s="4"/>
      <c r="I248" s="4"/>
      <c r="J248" s="4"/>
      <c r="K248" s="4"/>
      <c r="L248" s="4"/>
      <c r="M248" s="4"/>
      <c r="N248" s="105"/>
      <c r="O248" s="4"/>
      <c r="P248" s="4"/>
      <c r="Q248" s="4"/>
      <c r="R248" s="4"/>
      <c r="S248" s="4"/>
      <c r="T248" s="105"/>
      <c r="U248" s="4"/>
      <c r="V248" s="5"/>
      <c r="W248" s="5"/>
      <c r="X248" s="5"/>
      <c r="Y248" s="4"/>
      <c r="Z248" s="105"/>
      <c r="AA248" s="4"/>
      <c r="AB248" s="4"/>
      <c r="AC248" s="4"/>
      <c r="AD248" s="4"/>
      <c r="AE248" s="4"/>
      <c r="AF248" s="4"/>
      <c r="AG248" s="5"/>
      <c r="AH248" s="5"/>
      <c r="AI248" s="5"/>
      <c r="AJ248" s="4"/>
      <c r="AK248" s="5"/>
      <c r="AL248" s="5"/>
      <c r="AM248" s="5"/>
      <c r="AN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row>
    <row r="249" spans="1:90" x14ac:dyDescent="0.25">
      <c r="A249" s="4"/>
      <c r="B249" s="274"/>
      <c r="C249" s="274"/>
      <c r="D249" s="5"/>
      <c r="E249" s="5"/>
      <c r="F249" s="5"/>
      <c r="G249" s="5"/>
      <c r="H249" s="4"/>
      <c r="I249" s="4"/>
      <c r="J249" s="4"/>
      <c r="K249" s="4"/>
      <c r="L249" s="4"/>
      <c r="M249" s="4"/>
      <c r="N249" s="105"/>
      <c r="O249" s="4"/>
      <c r="P249" s="4"/>
      <c r="Q249" s="4"/>
      <c r="R249" s="4"/>
      <c r="S249" s="4"/>
      <c r="T249" s="105"/>
      <c r="U249" s="4"/>
      <c r="V249" s="5"/>
      <c r="W249" s="5"/>
      <c r="X249" s="5"/>
      <c r="Y249" s="4"/>
      <c r="Z249" s="105"/>
      <c r="AA249" s="4"/>
      <c r="AB249" s="4"/>
      <c r="AC249" s="4"/>
      <c r="AD249" s="4"/>
      <c r="AE249" s="4"/>
      <c r="AF249" s="4"/>
      <c r="AG249" s="5"/>
      <c r="AH249" s="5"/>
      <c r="AI249" s="5"/>
      <c r="AJ249" s="4"/>
      <c r="AK249" s="5"/>
      <c r="AL249" s="5"/>
      <c r="AM249" s="5"/>
      <c r="AN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row>
    <row r="250" spans="1:90" x14ac:dyDescent="0.25">
      <c r="A250" s="4"/>
      <c r="B250" s="274"/>
      <c r="C250" s="274"/>
      <c r="D250" s="5"/>
      <c r="E250" s="5"/>
      <c r="F250" s="5"/>
      <c r="G250" s="5"/>
      <c r="H250" s="4"/>
      <c r="I250" s="4"/>
      <c r="J250" s="4"/>
      <c r="K250" s="4"/>
      <c r="L250" s="4"/>
      <c r="M250" s="4"/>
      <c r="N250" s="105"/>
      <c r="O250" s="4"/>
      <c r="P250" s="4"/>
      <c r="Q250" s="4"/>
      <c r="R250" s="4"/>
      <c r="S250" s="4"/>
      <c r="T250" s="105"/>
      <c r="U250" s="4"/>
      <c r="V250" s="5"/>
      <c r="W250" s="5"/>
      <c r="X250" s="5"/>
      <c r="Y250" s="4"/>
      <c r="Z250" s="105"/>
      <c r="AA250" s="4"/>
      <c r="AB250" s="4"/>
      <c r="AC250" s="4"/>
      <c r="AD250" s="4"/>
      <c r="AE250" s="4"/>
      <c r="AF250" s="4"/>
      <c r="AG250" s="5"/>
      <c r="AH250" s="5"/>
      <c r="AI250" s="5"/>
      <c r="AJ250" s="4"/>
      <c r="AK250" s="5"/>
      <c r="AL250" s="5"/>
      <c r="AM250" s="5"/>
      <c r="AN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row>
    <row r="251" spans="1:90" x14ac:dyDescent="0.25">
      <c r="A251" s="4"/>
      <c r="B251" s="274"/>
      <c r="C251" s="274"/>
      <c r="D251" s="5"/>
      <c r="E251" s="5"/>
      <c r="F251" s="5"/>
      <c r="G251" s="5"/>
      <c r="H251" s="4"/>
      <c r="I251" s="4"/>
      <c r="J251" s="4"/>
      <c r="K251" s="4"/>
      <c r="L251" s="4"/>
      <c r="M251" s="4"/>
      <c r="N251" s="105"/>
      <c r="O251" s="4"/>
      <c r="P251" s="4"/>
      <c r="Q251" s="4"/>
      <c r="R251" s="4"/>
      <c r="S251" s="4"/>
      <c r="T251" s="105"/>
      <c r="U251" s="4"/>
      <c r="V251" s="5"/>
      <c r="W251" s="5"/>
      <c r="X251" s="5"/>
      <c r="Y251" s="4"/>
      <c r="Z251" s="105"/>
      <c r="AA251" s="4"/>
      <c r="AB251" s="4"/>
      <c r="AC251" s="4"/>
      <c r="AD251" s="4"/>
      <c r="AE251" s="4"/>
      <c r="AF251" s="4"/>
      <c r="AG251" s="5"/>
      <c r="AH251" s="5"/>
      <c r="AI251" s="5"/>
      <c r="AJ251" s="4"/>
      <c r="AK251" s="5"/>
      <c r="AL251" s="5"/>
      <c r="AM251" s="5"/>
      <c r="AN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row>
    <row r="252" spans="1:90" x14ac:dyDescent="0.25">
      <c r="A252" s="4"/>
      <c r="B252" s="276"/>
      <c r="C252" s="276"/>
      <c r="D252" s="277"/>
      <c r="E252" s="277"/>
      <c r="F252" s="277"/>
      <c r="G252" s="277"/>
      <c r="H252" s="5"/>
      <c r="I252" s="5"/>
      <c r="J252" s="5"/>
      <c r="K252" s="5"/>
      <c r="L252" s="5"/>
      <c r="M252" s="5"/>
      <c r="N252" s="6"/>
      <c r="O252" s="5"/>
      <c r="P252" s="5"/>
      <c r="Q252" s="5"/>
      <c r="R252" s="5"/>
      <c r="S252" s="5"/>
      <c r="T252" s="6"/>
      <c r="U252" s="5"/>
      <c r="V252" s="277"/>
      <c r="W252" s="277"/>
      <c r="X252" s="277"/>
      <c r="Y252" s="5"/>
      <c r="Z252" s="6"/>
      <c r="AA252" s="5"/>
      <c r="AB252" s="5"/>
      <c r="AC252" s="5"/>
      <c r="AD252" s="5"/>
      <c r="AE252" s="5"/>
      <c r="AF252" s="5"/>
      <c r="AG252" s="277"/>
      <c r="AH252" s="277"/>
      <c r="AI252" s="277"/>
      <c r="AJ252" s="5"/>
      <c r="AK252" s="277"/>
      <c r="AL252" s="277"/>
      <c r="AM252" s="277"/>
      <c r="AN252" s="5"/>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row>
    <row r="253" spans="1:90" x14ac:dyDescent="0.25">
      <c r="A253" s="4"/>
      <c r="B253" s="274"/>
      <c r="C253" s="274"/>
      <c r="D253" s="5"/>
      <c r="E253" s="5"/>
      <c r="F253" s="5"/>
      <c r="G253" s="5"/>
      <c r="H253" s="4"/>
      <c r="I253" s="4"/>
      <c r="J253" s="4"/>
      <c r="K253" s="4"/>
      <c r="L253" s="4"/>
      <c r="M253" s="4"/>
      <c r="N253" s="105"/>
      <c r="O253" s="4"/>
      <c r="P253" s="4"/>
      <c r="Q253" s="4"/>
      <c r="R253" s="4"/>
      <c r="S253" s="4"/>
      <c r="T253" s="105"/>
      <c r="U253" s="4"/>
      <c r="V253" s="5"/>
      <c r="W253" s="5"/>
      <c r="X253" s="5"/>
      <c r="Y253" s="4"/>
      <c r="Z253" s="105"/>
      <c r="AA253" s="4"/>
      <c r="AB253" s="4"/>
      <c r="AC253" s="4"/>
      <c r="AD253" s="4"/>
      <c r="AE253" s="4"/>
      <c r="AF253" s="4"/>
      <c r="AG253" s="5"/>
      <c r="AH253" s="5"/>
      <c r="AI253" s="5"/>
      <c r="AJ253" s="4"/>
      <c r="AK253" s="5"/>
      <c r="AL253" s="5"/>
      <c r="AM253" s="5"/>
      <c r="AN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row>
    <row r="254" spans="1:90" x14ac:dyDescent="0.25">
      <c r="A254" s="4"/>
      <c r="B254" s="274"/>
      <c r="C254" s="274"/>
      <c r="D254" s="5"/>
      <c r="E254" s="5"/>
      <c r="F254" s="5"/>
      <c r="G254" s="5"/>
      <c r="H254" s="4"/>
      <c r="I254" s="4"/>
      <c r="J254" s="4"/>
      <c r="K254" s="4"/>
      <c r="L254" s="4"/>
      <c r="M254" s="4"/>
      <c r="N254" s="105"/>
      <c r="O254" s="4"/>
      <c r="P254" s="4"/>
      <c r="Q254" s="4"/>
      <c r="R254" s="4"/>
      <c r="S254" s="4"/>
      <c r="T254" s="105"/>
      <c r="U254" s="4"/>
      <c r="V254" s="5"/>
      <c r="W254" s="5"/>
      <c r="X254" s="5"/>
      <c r="Y254" s="4"/>
      <c r="Z254" s="105"/>
      <c r="AA254" s="4"/>
      <c r="AB254" s="4"/>
      <c r="AC254" s="4"/>
      <c r="AD254" s="4"/>
      <c r="AE254" s="4"/>
      <c r="AF254" s="4"/>
      <c r="AG254" s="5"/>
      <c r="AH254" s="5"/>
      <c r="AI254" s="5"/>
      <c r="AJ254" s="4"/>
      <c r="AK254" s="5"/>
      <c r="AL254" s="5"/>
      <c r="AM254" s="5"/>
      <c r="AN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row>
    <row r="255" spans="1:90" x14ac:dyDescent="0.25">
      <c r="A255" s="4"/>
      <c r="B255" s="274"/>
      <c r="C255" s="274"/>
      <c r="D255" s="5"/>
      <c r="E255" s="5"/>
      <c r="F255" s="5"/>
      <c r="G255" s="5"/>
      <c r="H255" s="4"/>
      <c r="I255" s="4"/>
      <c r="J255" s="4"/>
      <c r="K255" s="4"/>
      <c r="L255" s="4"/>
      <c r="M255" s="4"/>
      <c r="N255" s="105"/>
      <c r="O255" s="4"/>
      <c r="P255" s="4"/>
      <c r="Q255" s="4"/>
      <c r="R255" s="4"/>
      <c r="S255" s="4"/>
      <c r="T255" s="105"/>
      <c r="U255" s="4"/>
      <c r="V255" s="5"/>
      <c r="W255" s="5"/>
      <c r="X255" s="5"/>
      <c r="Y255" s="4"/>
      <c r="Z255" s="105"/>
      <c r="AA255" s="4"/>
      <c r="AB255" s="4"/>
      <c r="AC255" s="4"/>
      <c r="AD255" s="4"/>
      <c r="AE255" s="4"/>
      <c r="AF255" s="4"/>
      <c r="AG255" s="5"/>
      <c r="AH255" s="5"/>
      <c r="AI255" s="5"/>
      <c r="AJ255" s="4"/>
      <c r="AK255" s="5"/>
      <c r="AL255" s="5"/>
      <c r="AM255" s="5"/>
      <c r="AN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row>
    <row r="256" spans="1:90" x14ac:dyDescent="0.25">
      <c r="A256" s="4"/>
      <c r="B256" s="274"/>
      <c r="C256" s="274"/>
      <c r="D256" s="5"/>
      <c r="E256" s="5"/>
      <c r="F256" s="5"/>
      <c r="G256" s="5"/>
      <c r="H256" s="4"/>
      <c r="I256" s="4"/>
      <c r="J256" s="4"/>
      <c r="K256" s="4"/>
      <c r="L256" s="4"/>
      <c r="M256" s="4"/>
      <c r="N256" s="105"/>
      <c r="O256" s="4"/>
      <c r="P256" s="4"/>
      <c r="Q256" s="4"/>
      <c r="R256" s="4"/>
      <c r="S256" s="4"/>
      <c r="T256" s="105"/>
      <c r="U256" s="4"/>
      <c r="V256" s="5"/>
      <c r="W256" s="5"/>
      <c r="X256" s="5"/>
      <c r="Y256" s="4"/>
      <c r="Z256" s="105"/>
      <c r="AA256" s="4"/>
      <c r="AB256" s="4"/>
      <c r="AC256" s="4"/>
      <c r="AD256" s="4"/>
      <c r="AE256" s="4"/>
      <c r="AF256" s="4"/>
      <c r="AG256" s="5"/>
      <c r="AH256" s="5"/>
      <c r="AI256" s="5"/>
      <c r="AJ256" s="4"/>
      <c r="AK256" s="5"/>
      <c r="AL256" s="5"/>
      <c r="AM256" s="5"/>
      <c r="AN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row>
    <row r="257" spans="1:90" x14ac:dyDescent="0.25">
      <c r="A257" s="4"/>
      <c r="B257" s="276"/>
      <c r="C257" s="276"/>
      <c r="D257" s="277"/>
      <c r="E257" s="277"/>
      <c r="F257" s="277"/>
      <c r="G257" s="277"/>
      <c r="H257" s="5"/>
      <c r="I257" s="5"/>
      <c r="J257" s="5"/>
      <c r="K257" s="5"/>
      <c r="L257" s="5"/>
      <c r="M257" s="5"/>
      <c r="N257" s="6"/>
      <c r="O257" s="5"/>
      <c r="P257" s="5"/>
      <c r="Q257" s="5"/>
      <c r="R257" s="5"/>
      <c r="S257" s="5"/>
      <c r="T257" s="6"/>
      <c r="U257" s="5"/>
      <c r="V257" s="277"/>
      <c r="W257" s="277"/>
      <c r="X257" s="277"/>
      <c r="Y257" s="5"/>
      <c r="Z257" s="6"/>
      <c r="AA257" s="5"/>
      <c r="AB257" s="5"/>
      <c r="AC257" s="5"/>
      <c r="AD257" s="5"/>
      <c r="AE257" s="5"/>
      <c r="AF257" s="5"/>
      <c r="AG257" s="277"/>
      <c r="AH257" s="277"/>
      <c r="AI257" s="277"/>
      <c r="AJ257" s="5"/>
      <c r="AK257" s="277"/>
      <c r="AL257" s="277"/>
      <c r="AM257" s="277"/>
      <c r="AN257" s="5"/>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row>
    <row r="258" spans="1:90" x14ac:dyDescent="0.25">
      <c r="A258" s="4"/>
      <c r="B258" s="274"/>
      <c r="C258" s="274"/>
      <c r="D258" s="5"/>
      <c r="E258" s="5"/>
      <c r="F258" s="5"/>
      <c r="G258" s="5"/>
      <c r="H258" s="4"/>
      <c r="I258" s="4"/>
      <c r="J258" s="4"/>
      <c r="K258" s="4"/>
      <c r="L258" s="4"/>
      <c r="M258" s="4"/>
      <c r="N258" s="105"/>
      <c r="O258" s="4"/>
      <c r="P258" s="4"/>
      <c r="Q258" s="4"/>
      <c r="R258" s="4"/>
      <c r="S258" s="4"/>
      <c r="T258" s="105"/>
      <c r="U258" s="4"/>
      <c r="V258" s="5"/>
      <c r="W258" s="5"/>
      <c r="X258" s="5"/>
      <c r="Y258" s="4"/>
      <c r="Z258" s="105"/>
      <c r="AA258" s="4"/>
      <c r="AB258" s="4"/>
      <c r="AC258" s="4"/>
      <c r="AD258" s="4"/>
      <c r="AE258" s="4"/>
      <c r="AF258" s="4"/>
      <c r="AG258" s="5"/>
      <c r="AH258" s="5"/>
      <c r="AI258" s="5"/>
      <c r="AJ258" s="4"/>
      <c r="AK258" s="5"/>
      <c r="AL258" s="5"/>
      <c r="AM258" s="5"/>
      <c r="AN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row>
    <row r="259" spans="1:90" x14ac:dyDescent="0.25">
      <c r="A259" s="4"/>
      <c r="B259" s="274"/>
      <c r="C259" s="274"/>
      <c r="D259" s="5"/>
      <c r="E259" s="5"/>
      <c r="F259" s="5"/>
      <c r="G259" s="5"/>
      <c r="H259" s="4"/>
      <c r="I259" s="4"/>
      <c r="J259" s="4"/>
      <c r="K259" s="4"/>
      <c r="L259" s="4"/>
      <c r="M259" s="4"/>
      <c r="N259" s="105"/>
      <c r="O259" s="4"/>
      <c r="P259" s="4"/>
      <c r="Q259" s="4"/>
      <c r="R259" s="4"/>
      <c r="S259" s="4"/>
      <c r="T259" s="105"/>
      <c r="U259" s="4"/>
      <c r="V259" s="5"/>
      <c r="W259" s="5"/>
      <c r="X259" s="5"/>
      <c r="Y259" s="4"/>
      <c r="Z259" s="105"/>
      <c r="AA259" s="4"/>
      <c r="AB259" s="4"/>
      <c r="AC259" s="4"/>
      <c r="AD259" s="4"/>
      <c r="AE259" s="4"/>
      <c r="AF259" s="4"/>
      <c r="AG259" s="5"/>
      <c r="AH259" s="5"/>
      <c r="AI259" s="5"/>
      <c r="AJ259" s="4"/>
      <c r="AK259" s="5"/>
      <c r="AL259" s="5"/>
      <c r="AM259" s="5"/>
      <c r="AN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row>
    <row r="260" spans="1:90" x14ac:dyDescent="0.25">
      <c r="A260" s="4"/>
      <c r="B260" s="274"/>
      <c r="C260" s="274"/>
      <c r="D260" s="5"/>
      <c r="E260" s="5"/>
      <c r="F260" s="5"/>
      <c r="G260" s="5"/>
      <c r="H260" s="4"/>
      <c r="I260" s="4"/>
      <c r="J260" s="4"/>
      <c r="K260" s="4"/>
      <c r="L260" s="4"/>
      <c r="M260" s="4"/>
      <c r="N260" s="105"/>
      <c r="O260" s="4"/>
      <c r="P260" s="4"/>
      <c r="Q260" s="4"/>
      <c r="R260" s="4"/>
      <c r="S260" s="4"/>
      <c r="T260" s="105"/>
      <c r="U260" s="4"/>
      <c r="V260" s="5"/>
      <c r="W260" s="5"/>
      <c r="X260" s="5"/>
      <c r="Y260" s="4"/>
      <c r="Z260" s="105"/>
      <c r="AA260" s="4"/>
      <c r="AB260" s="4"/>
      <c r="AC260" s="4"/>
      <c r="AD260" s="4"/>
      <c r="AE260" s="4"/>
      <c r="AF260" s="4"/>
      <c r="AG260" s="5"/>
      <c r="AH260" s="5"/>
      <c r="AI260" s="5"/>
      <c r="AJ260" s="4"/>
      <c r="AK260" s="5"/>
      <c r="AL260" s="5"/>
      <c r="AM260" s="5"/>
      <c r="AN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row>
    <row r="261" spans="1:90" x14ac:dyDescent="0.25">
      <c r="A261" s="4"/>
      <c r="B261" s="274"/>
      <c r="C261" s="274"/>
      <c r="D261" s="5"/>
      <c r="E261" s="5"/>
      <c r="F261" s="5"/>
      <c r="G261" s="5"/>
      <c r="H261" s="4"/>
      <c r="I261" s="4"/>
      <c r="J261" s="4"/>
      <c r="K261" s="4"/>
      <c r="L261" s="4"/>
      <c r="M261" s="4"/>
      <c r="N261" s="105"/>
      <c r="O261" s="4"/>
      <c r="P261" s="4"/>
      <c r="Q261" s="4"/>
      <c r="R261" s="4"/>
      <c r="S261" s="4"/>
      <c r="T261" s="105"/>
      <c r="U261" s="4"/>
      <c r="V261" s="5"/>
      <c r="W261" s="5"/>
      <c r="X261" s="5"/>
      <c r="Y261" s="4"/>
      <c r="Z261" s="105"/>
      <c r="AA261" s="4"/>
      <c r="AB261" s="4"/>
      <c r="AC261" s="4"/>
      <c r="AD261" s="4"/>
      <c r="AE261" s="4"/>
      <c r="AF261" s="4"/>
      <c r="AG261" s="5"/>
      <c r="AH261" s="5"/>
      <c r="AI261" s="5"/>
      <c r="AJ261" s="4"/>
      <c r="AK261" s="5"/>
      <c r="AL261" s="5"/>
      <c r="AM261" s="5"/>
      <c r="AN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row>
    <row r="262" spans="1:90" x14ac:dyDescent="0.25">
      <c r="A262" s="4"/>
      <c r="B262" s="274"/>
      <c r="C262" s="274"/>
      <c r="D262" s="5"/>
      <c r="E262" s="5"/>
      <c r="F262" s="5"/>
      <c r="G262" s="5"/>
      <c r="H262" s="4"/>
      <c r="I262" s="4"/>
      <c r="J262" s="4"/>
      <c r="K262" s="4"/>
      <c r="L262" s="4"/>
      <c r="M262" s="4"/>
      <c r="N262" s="105"/>
      <c r="O262" s="4"/>
      <c r="P262" s="4"/>
      <c r="Q262" s="4"/>
      <c r="R262" s="4"/>
      <c r="S262" s="4"/>
      <c r="T262" s="105"/>
      <c r="U262" s="4"/>
      <c r="V262" s="5"/>
      <c r="W262" s="5"/>
      <c r="X262" s="5"/>
      <c r="Y262" s="4"/>
      <c r="Z262" s="105"/>
      <c r="AA262" s="4"/>
      <c r="AB262" s="4"/>
      <c r="AC262" s="4"/>
      <c r="AD262" s="4"/>
      <c r="AE262" s="4"/>
      <c r="AF262" s="4"/>
      <c r="AG262" s="5"/>
      <c r="AH262" s="5"/>
      <c r="AI262" s="5"/>
      <c r="AJ262" s="4"/>
      <c r="AK262" s="5"/>
      <c r="AL262" s="5"/>
      <c r="AM262" s="5"/>
      <c r="AN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row>
    <row r="263" spans="1:90" x14ac:dyDescent="0.25">
      <c r="A263" s="4"/>
      <c r="B263" s="274"/>
      <c r="C263" s="274"/>
      <c r="D263" s="5"/>
      <c r="E263" s="5"/>
      <c r="F263" s="5"/>
      <c r="G263" s="5"/>
      <c r="H263" s="4"/>
      <c r="I263" s="4"/>
      <c r="J263" s="4"/>
      <c r="K263" s="4"/>
      <c r="L263" s="4"/>
      <c r="M263" s="4"/>
      <c r="N263" s="105"/>
      <c r="O263" s="4"/>
      <c r="P263" s="4"/>
      <c r="Q263" s="4"/>
      <c r="R263" s="4"/>
      <c r="S263" s="4"/>
      <c r="T263" s="105"/>
      <c r="U263" s="4"/>
      <c r="V263" s="5"/>
      <c r="W263" s="5"/>
      <c r="X263" s="5"/>
      <c r="Y263" s="4"/>
      <c r="Z263" s="105"/>
      <c r="AA263" s="4"/>
      <c r="AB263" s="4"/>
      <c r="AC263" s="4"/>
      <c r="AD263" s="4"/>
      <c r="AE263" s="4"/>
      <c r="AF263" s="4"/>
      <c r="AG263" s="5"/>
      <c r="AH263" s="5"/>
      <c r="AI263" s="5"/>
      <c r="AJ263" s="4"/>
      <c r="AK263" s="5"/>
      <c r="AL263" s="5"/>
      <c r="AM263" s="5"/>
      <c r="AN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row>
    <row r="264" spans="1:90" x14ac:dyDescent="0.25">
      <c r="A264" s="4"/>
      <c r="B264" s="274"/>
      <c r="C264" s="274"/>
      <c r="D264" s="5"/>
      <c r="E264" s="5"/>
      <c r="F264" s="5"/>
      <c r="G264" s="5"/>
      <c r="H264" s="4"/>
      <c r="I264" s="4"/>
      <c r="J264" s="4"/>
      <c r="K264" s="4"/>
      <c r="L264" s="4"/>
      <c r="M264" s="4"/>
      <c r="N264" s="105"/>
      <c r="O264" s="4"/>
      <c r="P264" s="4"/>
      <c r="Q264" s="4"/>
      <c r="R264" s="4"/>
      <c r="S264" s="4"/>
      <c r="T264" s="105"/>
      <c r="U264" s="4"/>
      <c r="V264" s="5"/>
      <c r="W264" s="5"/>
      <c r="X264" s="5"/>
      <c r="Y264" s="4"/>
      <c r="Z264" s="105"/>
      <c r="AA264" s="4"/>
      <c r="AB264" s="4"/>
      <c r="AC264" s="4"/>
      <c r="AD264" s="4"/>
      <c r="AE264" s="4"/>
      <c r="AF264" s="4"/>
      <c r="AG264" s="5"/>
      <c r="AH264" s="5"/>
      <c r="AI264" s="5"/>
      <c r="AJ264" s="4"/>
      <c r="AK264" s="5"/>
      <c r="AL264" s="5"/>
      <c r="AM264" s="5"/>
      <c r="AN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row>
    <row r="265" spans="1:90" x14ac:dyDescent="0.25">
      <c r="A265" s="4"/>
      <c r="B265" s="274"/>
      <c r="C265" s="274"/>
      <c r="D265" s="5"/>
      <c r="E265" s="5"/>
      <c r="F265" s="5"/>
      <c r="G265" s="5"/>
      <c r="H265" s="4"/>
      <c r="I265" s="4"/>
      <c r="J265" s="4"/>
      <c r="K265" s="4"/>
      <c r="L265" s="4"/>
      <c r="M265" s="4"/>
      <c r="N265" s="105"/>
      <c r="O265" s="4"/>
      <c r="P265" s="4"/>
      <c r="Q265" s="4"/>
      <c r="R265" s="4"/>
      <c r="S265" s="4"/>
      <c r="T265" s="105"/>
      <c r="U265" s="4"/>
      <c r="V265" s="5"/>
      <c r="W265" s="5"/>
      <c r="X265" s="5"/>
      <c r="Y265" s="4"/>
      <c r="Z265" s="105"/>
      <c r="AA265" s="4"/>
      <c r="AB265" s="4"/>
      <c r="AC265" s="4"/>
      <c r="AD265" s="4"/>
      <c r="AE265" s="4"/>
      <c r="AF265" s="4"/>
      <c r="AG265" s="5"/>
      <c r="AH265" s="5"/>
      <c r="AI265" s="5"/>
      <c r="AJ265" s="4"/>
      <c r="AK265" s="5"/>
      <c r="AL265" s="5"/>
      <c r="AM265" s="5"/>
      <c r="AN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row>
    <row r="266" spans="1:90" x14ac:dyDescent="0.25">
      <c r="A266" s="4"/>
      <c r="B266" s="274"/>
      <c r="C266" s="274"/>
      <c r="D266" s="5"/>
      <c r="E266" s="5"/>
      <c r="F266" s="5"/>
      <c r="G266" s="5"/>
      <c r="H266" s="4"/>
      <c r="I266" s="4"/>
      <c r="J266" s="4"/>
      <c r="K266" s="4"/>
      <c r="L266" s="4"/>
      <c r="M266" s="4"/>
      <c r="N266" s="105"/>
      <c r="O266" s="4"/>
      <c r="P266" s="4"/>
      <c r="Q266" s="4"/>
      <c r="R266" s="4"/>
      <c r="S266" s="4"/>
      <c r="T266" s="105"/>
      <c r="U266" s="4"/>
      <c r="V266" s="5"/>
      <c r="W266" s="5"/>
      <c r="X266" s="5"/>
      <c r="Y266" s="4"/>
      <c r="Z266" s="105"/>
      <c r="AA266" s="4"/>
      <c r="AB266" s="4"/>
      <c r="AC266" s="4"/>
      <c r="AD266" s="4"/>
      <c r="AE266" s="4"/>
      <c r="AF266" s="4"/>
      <c r="AG266" s="5"/>
      <c r="AH266" s="5"/>
      <c r="AI266" s="5"/>
      <c r="AJ266" s="4"/>
      <c r="AK266" s="5"/>
      <c r="AL266" s="5"/>
      <c r="AM266" s="5"/>
      <c r="AN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row>
    <row r="267" spans="1:90" x14ac:dyDescent="0.25">
      <c r="A267" s="4"/>
      <c r="B267" s="274"/>
      <c r="C267" s="274"/>
      <c r="D267" s="5"/>
      <c r="E267" s="5"/>
      <c r="F267" s="5"/>
      <c r="G267" s="5"/>
      <c r="H267" s="4"/>
      <c r="I267" s="4"/>
      <c r="J267" s="4"/>
      <c r="K267" s="4"/>
      <c r="L267" s="4"/>
      <c r="M267" s="4"/>
      <c r="N267" s="105"/>
      <c r="O267" s="4"/>
      <c r="P267" s="4"/>
      <c r="Q267" s="4"/>
      <c r="R267" s="4"/>
      <c r="S267" s="4"/>
      <c r="T267" s="105"/>
      <c r="U267" s="4"/>
      <c r="V267" s="5"/>
      <c r="W267" s="5"/>
      <c r="X267" s="5"/>
      <c r="Y267" s="4"/>
      <c r="Z267" s="105"/>
      <c r="AA267" s="4"/>
      <c r="AB267" s="4"/>
      <c r="AC267" s="4"/>
      <c r="AD267" s="4"/>
      <c r="AE267" s="4"/>
      <c r="AF267" s="4"/>
      <c r="AG267" s="5"/>
      <c r="AH267" s="5"/>
      <c r="AI267" s="5"/>
      <c r="AJ267" s="4"/>
      <c r="AK267" s="5"/>
      <c r="AL267" s="5"/>
      <c r="AM267" s="5"/>
      <c r="AN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row>
    <row r="268" spans="1:90" x14ac:dyDescent="0.25">
      <c r="A268" s="4"/>
      <c r="B268" s="9"/>
      <c r="C268" s="9"/>
      <c r="D268" s="7"/>
      <c r="E268" s="7"/>
      <c r="F268" s="7"/>
      <c r="G268" s="7"/>
      <c r="H268" s="4"/>
      <c r="I268" s="4"/>
      <c r="J268" s="4"/>
      <c r="K268" s="4"/>
      <c r="L268" s="4"/>
      <c r="M268" s="4"/>
      <c r="N268" s="105"/>
      <c r="O268" s="4"/>
      <c r="P268" s="4"/>
      <c r="Q268" s="4"/>
      <c r="R268" s="4"/>
      <c r="S268" s="4"/>
      <c r="T268" s="105"/>
      <c r="U268" s="4"/>
      <c r="V268" s="7"/>
      <c r="W268" s="7"/>
      <c r="X268" s="7"/>
      <c r="Y268" s="4"/>
      <c r="Z268" s="105"/>
      <c r="AA268" s="4"/>
      <c r="AB268" s="4"/>
      <c r="AC268" s="4"/>
      <c r="AD268" s="4"/>
      <c r="AE268" s="4"/>
      <c r="AF268" s="4"/>
      <c r="AG268" s="7"/>
      <c r="AH268" s="7"/>
      <c r="AI268" s="7"/>
      <c r="AJ268" s="4"/>
      <c r="AK268" s="7"/>
      <c r="AL268" s="7"/>
      <c r="AM268" s="7"/>
      <c r="AN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row>
    <row r="269" spans="1:90" x14ac:dyDescent="0.25">
      <c r="A269" s="4"/>
      <c r="B269" s="278"/>
      <c r="C269" s="278"/>
      <c r="D269" s="279"/>
      <c r="E269" s="279"/>
      <c r="F269" s="279"/>
      <c r="G269" s="279"/>
      <c r="H269" s="4"/>
      <c r="I269" s="4"/>
      <c r="J269" s="4"/>
      <c r="K269" s="4"/>
      <c r="L269" s="4"/>
      <c r="M269" s="4"/>
      <c r="N269" s="105"/>
      <c r="O269" s="4"/>
      <c r="P269" s="4"/>
      <c r="Q269" s="4"/>
      <c r="R269" s="4"/>
      <c r="S269" s="4"/>
      <c r="T269" s="105"/>
      <c r="U269" s="4"/>
      <c r="V269" s="279"/>
      <c r="W269" s="279"/>
      <c r="X269" s="279"/>
      <c r="Y269" s="4"/>
      <c r="Z269" s="105"/>
      <c r="AA269" s="4"/>
      <c r="AB269" s="4"/>
      <c r="AC269" s="4"/>
      <c r="AD269" s="4"/>
      <c r="AE269" s="4"/>
      <c r="AF269" s="4"/>
      <c r="AG269" s="279"/>
      <c r="AH269" s="279"/>
      <c r="AI269" s="279"/>
      <c r="AJ269" s="4"/>
      <c r="AK269" s="279"/>
      <c r="AL269" s="279"/>
      <c r="AM269" s="279"/>
      <c r="AN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row>
    <row r="270" spans="1:90" x14ac:dyDescent="0.25">
      <c r="A270" s="4"/>
      <c r="B270" s="276"/>
      <c r="C270" s="276"/>
      <c r="D270" s="276"/>
      <c r="E270" s="276"/>
      <c r="F270" s="276"/>
      <c r="G270" s="276"/>
      <c r="H270" s="5"/>
      <c r="I270" s="5"/>
      <c r="J270" s="5"/>
      <c r="K270" s="5"/>
      <c r="L270" s="5"/>
      <c r="M270" s="5"/>
      <c r="N270" s="6"/>
      <c r="O270" s="5"/>
      <c r="P270" s="5"/>
      <c r="Q270" s="5"/>
      <c r="R270" s="5"/>
      <c r="S270" s="5"/>
      <c r="T270" s="6"/>
      <c r="U270" s="5"/>
      <c r="V270" s="276"/>
      <c r="W270" s="276"/>
      <c r="X270" s="276"/>
      <c r="Y270" s="5"/>
      <c r="Z270" s="6"/>
      <c r="AA270" s="5"/>
      <c r="AB270" s="5"/>
      <c r="AC270" s="5"/>
      <c r="AD270" s="5"/>
      <c r="AE270" s="5"/>
      <c r="AF270" s="5"/>
      <c r="AG270" s="276"/>
      <c r="AH270" s="276"/>
      <c r="AI270" s="276"/>
      <c r="AJ270" s="5"/>
      <c r="AK270" s="276"/>
      <c r="AL270" s="276"/>
      <c r="AM270" s="276"/>
      <c r="AN270" s="5"/>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row>
    <row r="271" spans="1:90" x14ac:dyDescent="0.25">
      <c r="A271" s="4"/>
      <c r="B271" s="276"/>
      <c r="C271" s="276"/>
      <c r="D271" s="276"/>
      <c r="E271" s="276"/>
      <c r="F271" s="276"/>
      <c r="G271" s="276"/>
      <c r="H271" s="4"/>
      <c r="I271" s="4"/>
      <c r="J271" s="4"/>
      <c r="K271" s="4"/>
      <c r="L271" s="4"/>
      <c r="M271" s="4"/>
      <c r="N271" s="105"/>
      <c r="O271" s="4"/>
      <c r="P271" s="4"/>
      <c r="Q271" s="4"/>
      <c r="R271" s="4"/>
      <c r="S271" s="4"/>
      <c r="T271" s="105"/>
      <c r="U271" s="4"/>
      <c r="V271" s="276"/>
      <c r="W271" s="276"/>
      <c r="X271" s="276"/>
      <c r="Y271" s="4"/>
      <c r="Z271" s="105"/>
      <c r="AA271" s="4"/>
      <c r="AB271" s="4"/>
      <c r="AC271" s="4"/>
      <c r="AD271" s="4"/>
      <c r="AE271" s="4"/>
      <c r="AF271" s="4"/>
      <c r="AG271" s="276"/>
      <c r="AH271" s="276"/>
      <c r="AI271" s="276"/>
      <c r="AJ271" s="4"/>
      <c r="AK271" s="276"/>
      <c r="AL271" s="276"/>
      <c r="AM271" s="276"/>
      <c r="AN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row>
    <row r="272" spans="1:90" x14ac:dyDescent="0.25">
      <c r="A272" s="4"/>
      <c r="B272" s="276"/>
      <c r="C272" s="276"/>
      <c r="D272" s="276"/>
      <c r="E272" s="276"/>
      <c r="F272" s="276"/>
      <c r="G272" s="276"/>
      <c r="H272" s="4"/>
      <c r="I272" s="4"/>
      <c r="J272" s="4"/>
      <c r="K272" s="4"/>
      <c r="L272" s="4"/>
      <c r="M272" s="4"/>
      <c r="N272" s="105"/>
      <c r="O272" s="4"/>
      <c r="P272" s="4"/>
      <c r="Q272" s="4"/>
      <c r="R272" s="4"/>
      <c r="S272" s="4"/>
      <c r="T272" s="105"/>
      <c r="U272" s="4"/>
      <c r="V272" s="276"/>
      <c r="W272" s="276"/>
      <c r="X272" s="276"/>
      <c r="Y272" s="4"/>
      <c r="Z272" s="105"/>
      <c r="AA272" s="4"/>
      <c r="AB272" s="4"/>
      <c r="AC272" s="4"/>
      <c r="AD272" s="4"/>
      <c r="AE272" s="4"/>
      <c r="AF272" s="4"/>
      <c r="AG272" s="276"/>
      <c r="AH272" s="276"/>
      <c r="AI272" s="276"/>
      <c r="AJ272" s="4"/>
      <c r="AK272" s="276"/>
      <c r="AL272" s="276"/>
      <c r="AM272" s="276"/>
      <c r="AN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row>
    <row r="273" spans="1:90" x14ac:dyDescent="0.25">
      <c r="A273" s="4"/>
      <c r="B273" s="276"/>
      <c r="C273" s="276"/>
      <c r="D273" s="276"/>
      <c r="E273" s="276"/>
      <c r="F273" s="276"/>
      <c r="G273" s="276"/>
      <c r="H273" s="4"/>
      <c r="I273" s="4"/>
      <c r="J273" s="4"/>
      <c r="K273" s="4"/>
      <c r="L273" s="4"/>
      <c r="M273" s="4"/>
      <c r="N273" s="105"/>
      <c r="O273" s="4"/>
      <c r="P273" s="4"/>
      <c r="Q273" s="4"/>
      <c r="R273" s="4"/>
      <c r="S273" s="4"/>
      <c r="T273" s="105"/>
      <c r="U273" s="4"/>
      <c r="V273" s="276"/>
      <c r="W273" s="276"/>
      <c r="X273" s="276"/>
      <c r="Y273" s="4"/>
      <c r="Z273" s="105"/>
      <c r="AA273" s="4"/>
      <c r="AB273" s="4"/>
      <c r="AC273" s="4"/>
      <c r="AD273" s="4"/>
      <c r="AE273" s="4"/>
      <c r="AF273" s="4"/>
      <c r="AG273" s="276"/>
      <c r="AH273" s="276"/>
      <c r="AI273" s="276"/>
      <c r="AJ273" s="4"/>
      <c r="AK273" s="276"/>
      <c r="AL273" s="276"/>
      <c r="AM273" s="276"/>
      <c r="AN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row>
    <row r="274" spans="1:90" x14ac:dyDescent="0.25">
      <c r="A274" s="4"/>
      <c r="B274" s="9"/>
      <c r="C274" s="9"/>
      <c r="D274" s="7"/>
      <c r="E274" s="7"/>
      <c r="F274" s="7"/>
      <c r="G274" s="7"/>
      <c r="H274" s="4"/>
      <c r="I274" s="4"/>
      <c r="J274" s="4"/>
      <c r="K274" s="4"/>
      <c r="L274" s="4"/>
      <c r="M274" s="4"/>
      <c r="N274" s="105"/>
      <c r="O274" s="4"/>
      <c r="P274" s="4"/>
      <c r="Q274" s="4"/>
      <c r="R274" s="4"/>
      <c r="S274" s="4"/>
      <c r="T274" s="105"/>
      <c r="U274" s="4"/>
      <c r="V274" s="7"/>
      <c r="W274" s="7"/>
      <c r="X274" s="7"/>
      <c r="Y274" s="4"/>
      <c r="Z274" s="105"/>
      <c r="AA274" s="4"/>
      <c r="AB274" s="4"/>
      <c r="AC274" s="4"/>
      <c r="AD274" s="4"/>
      <c r="AE274" s="4"/>
      <c r="AF274" s="4"/>
      <c r="AG274" s="7"/>
      <c r="AH274" s="7"/>
      <c r="AI274" s="7"/>
      <c r="AJ274" s="4"/>
      <c r="AK274" s="7"/>
      <c r="AL274" s="7"/>
      <c r="AM274" s="7"/>
      <c r="AN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row>
    <row r="275" spans="1:90" x14ac:dyDescent="0.25">
      <c r="A275" s="4"/>
      <c r="B275" s="278"/>
      <c r="C275" s="278"/>
      <c r="D275" s="279"/>
      <c r="E275" s="279"/>
      <c r="F275" s="279"/>
      <c r="G275" s="279"/>
      <c r="H275" s="4"/>
      <c r="I275" s="4"/>
      <c r="J275" s="4"/>
      <c r="K275" s="4"/>
      <c r="L275" s="4"/>
      <c r="M275" s="4"/>
      <c r="N275" s="105"/>
      <c r="O275" s="4"/>
      <c r="P275" s="4"/>
      <c r="Q275" s="4"/>
      <c r="R275" s="4"/>
      <c r="S275" s="4"/>
      <c r="T275" s="105"/>
      <c r="U275" s="4"/>
      <c r="V275" s="279"/>
      <c r="W275" s="279"/>
      <c r="X275" s="279"/>
      <c r="Y275" s="4"/>
      <c r="Z275" s="105"/>
      <c r="AA275" s="4"/>
      <c r="AB275" s="4"/>
      <c r="AC275" s="4"/>
      <c r="AD275" s="4"/>
      <c r="AE275" s="4"/>
      <c r="AF275" s="4"/>
      <c r="AG275" s="279"/>
      <c r="AH275" s="279"/>
      <c r="AI275" s="279"/>
      <c r="AJ275" s="4"/>
      <c r="AK275" s="279"/>
      <c r="AL275" s="279"/>
      <c r="AM275" s="279"/>
      <c r="AN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row>
    <row r="276" spans="1:90" x14ac:dyDescent="0.25">
      <c r="A276" s="4"/>
      <c r="B276" s="272"/>
      <c r="C276" s="272"/>
      <c r="D276" s="4"/>
      <c r="E276" s="4"/>
      <c r="F276" s="4"/>
      <c r="G276" s="4"/>
      <c r="H276" s="5"/>
      <c r="I276" s="5"/>
      <c r="J276" s="5"/>
      <c r="K276" s="5"/>
      <c r="L276" s="5"/>
      <c r="M276" s="5"/>
      <c r="N276" s="6"/>
      <c r="O276" s="5"/>
      <c r="P276" s="5"/>
      <c r="Q276" s="5"/>
      <c r="R276" s="5"/>
      <c r="S276" s="5"/>
      <c r="T276" s="6"/>
      <c r="U276" s="5"/>
      <c r="V276" s="4"/>
      <c r="W276" s="4"/>
      <c r="X276" s="4"/>
      <c r="Y276" s="5"/>
      <c r="Z276" s="6"/>
      <c r="AA276" s="5"/>
      <c r="AB276" s="5"/>
      <c r="AC276" s="5"/>
      <c r="AD276" s="5"/>
      <c r="AE276" s="5"/>
      <c r="AF276" s="5"/>
      <c r="AG276" s="4"/>
      <c r="AH276" s="4"/>
      <c r="AI276" s="4"/>
      <c r="AJ276" s="5"/>
      <c r="AK276" s="4"/>
      <c r="AL276" s="4"/>
      <c r="AM276" s="4"/>
      <c r="AN276" s="5"/>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row>
    <row r="277" spans="1:90" x14ac:dyDescent="0.25">
      <c r="A277" s="4"/>
      <c r="B277" s="272"/>
      <c r="C277" s="272"/>
      <c r="D277" s="4"/>
      <c r="E277" s="4"/>
      <c r="F277" s="4"/>
      <c r="G277" s="4"/>
      <c r="H277" s="4"/>
      <c r="I277" s="4"/>
      <c r="J277" s="4"/>
      <c r="K277" s="4"/>
      <c r="L277" s="4"/>
      <c r="M277" s="4"/>
      <c r="N277" s="105"/>
      <c r="O277" s="4"/>
      <c r="P277" s="4"/>
      <c r="Q277" s="4"/>
      <c r="R277" s="4"/>
      <c r="S277" s="4"/>
      <c r="T277" s="105"/>
      <c r="U277" s="4"/>
      <c r="V277" s="4"/>
      <c r="W277" s="4"/>
      <c r="X277" s="4"/>
      <c r="Y277" s="4"/>
      <c r="Z277" s="105"/>
      <c r="AA277" s="4"/>
      <c r="AB277" s="4"/>
      <c r="AC277" s="4"/>
      <c r="AD277" s="4"/>
      <c r="AE277" s="4"/>
      <c r="AF277" s="4"/>
      <c r="AG277" s="4"/>
      <c r="AH277" s="4"/>
      <c r="AI277" s="4"/>
      <c r="AJ277" s="4"/>
      <c r="AK277" s="4"/>
      <c r="AL277" s="4"/>
      <c r="AM277" s="4"/>
      <c r="AN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row>
    <row r="278" spans="1:90" x14ac:dyDescent="0.25">
      <c r="A278" s="4"/>
      <c r="B278" s="272"/>
      <c r="C278" s="272"/>
      <c r="D278" s="4"/>
      <c r="E278" s="4"/>
      <c r="F278" s="4"/>
      <c r="G278" s="4"/>
      <c r="H278" s="4"/>
      <c r="I278" s="4"/>
      <c r="J278" s="4"/>
      <c r="K278" s="4"/>
      <c r="L278" s="4"/>
      <c r="M278" s="4"/>
      <c r="N278" s="105"/>
      <c r="O278" s="4"/>
      <c r="P278" s="4"/>
      <c r="Q278" s="4"/>
      <c r="R278" s="4"/>
      <c r="S278" s="4"/>
      <c r="T278" s="105"/>
      <c r="U278" s="4"/>
      <c r="V278" s="4"/>
      <c r="W278" s="4"/>
      <c r="X278" s="4"/>
      <c r="Y278" s="4"/>
      <c r="Z278" s="105"/>
      <c r="AA278" s="4"/>
      <c r="AB278" s="4"/>
      <c r="AC278" s="4"/>
      <c r="AD278" s="4"/>
      <c r="AE278" s="4"/>
      <c r="AF278" s="4"/>
      <c r="AG278" s="4"/>
      <c r="AH278" s="4"/>
      <c r="AI278" s="4"/>
      <c r="AJ278" s="4"/>
      <c r="AK278" s="4"/>
      <c r="AL278" s="4"/>
      <c r="AM278" s="4"/>
      <c r="AN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row>
    <row r="279" spans="1:90" x14ac:dyDescent="0.25">
      <c r="A279" s="4"/>
      <c r="B279" s="272"/>
      <c r="C279" s="272"/>
      <c r="D279" s="4"/>
      <c r="E279" s="4"/>
      <c r="F279" s="4"/>
      <c r="G279" s="4"/>
      <c r="H279" s="4"/>
      <c r="I279" s="4"/>
      <c r="J279" s="4"/>
      <c r="K279" s="4"/>
      <c r="L279" s="4"/>
      <c r="M279" s="4"/>
      <c r="N279" s="105"/>
      <c r="O279" s="4"/>
      <c r="P279" s="4"/>
      <c r="Q279" s="4"/>
      <c r="R279" s="4"/>
      <c r="S279" s="4"/>
      <c r="T279" s="105"/>
      <c r="U279" s="4"/>
      <c r="V279" s="4"/>
      <c r="W279" s="4"/>
      <c r="X279" s="4"/>
      <c r="Y279" s="4"/>
      <c r="Z279" s="105"/>
      <c r="AA279" s="4"/>
      <c r="AB279" s="4"/>
      <c r="AC279" s="4"/>
      <c r="AD279" s="4"/>
      <c r="AE279" s="4"/>
      <c r="AF279" s="4"/>
      <c r="AG279" s="4"/>
      <c r="AH279" s="4"/>
      <c r="AI279" s="4"/>
      <c r="AJ279" s="4"/>
      <c r="AK279" s="4"/>
      <c r="AL279" s="4"/>
      <c r="AM279" s="4"/>
      <c r="AN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row>
    <row r="280" spans="1:90" x14ac:dyDescent="0.25">
      <c r="A280" s="4"/>
      <c r="B280" s="272"/>
      <c r="C280" s="272"/>
      <c r="D280" s="4"/>
      <c r="E280" s="4"/>
      <c r="F280" s="4"/>
      <c r="G280" s="4"/>
      <c r="H280" s="4"/>
      <c r="I280" s="4"/>
      <c r="J280" s="4"/>
      <c r="K280" s="4"/>
      <c r="L280" s="4"/>
      <c r="M280" s="4"/>
      <c r="N280" s="105"/>
      <c r="O280" s="4"/>
      <c r="P280" s="4"/>
      <c r="Q280" s="4"/>
      <c r="R280" s="4"/>
      <c r="S280" s="4"/>
      <c r="T280" s="105"/>
      <c r="U280" s="4"/>
      <c r="V280" s="4"/>
      <c r="W280" s="4"/>
      <c r="X280" s="4"/>
      <c r="Y280" s="4"/>
      <c r="Z280" s="105"/>
      <c r="AA280" s="4"/>
      <c r="AB280" s="4"/>
      <c r="AC280" s="4"/>
      <c r="AD280" s="4"/>
      <c r="AE280" s="4"/>
      <c r="AF280" s="4"/>
      <c r="AG280" s="4"/>
      <c r="AH280" s="4"/>
      <c r="AI280" s="4"/>
      <c r="AJ280" s="4"/>
      <c r="AK280" s="4"/>
      <c r="AL280" s="4"/>
      <c r="AM280" s="4"/>
      <c r="AN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row>
    <row r="281" spans="1:90" x14ac:dyDescent="0.25">
      <c r="A281" s="4"/>
      <c r="B281" s="276"/>
      <c r="C281" s="276"/>
      <c r="D281" s="277"/>
      <c r="E281" s="277"/>
      <c r="F281" s="277"/>
      <c r="G281" s="277"/>
      <c r="H281" s="5"/>
      <c r="I281" s="5"/>
      <c r="J281" s="5"/>
      <c r="K281" s="5"/>
      <c r="L281" s="5"/>
      <c r="M281" s="5"/>
      <c r="N281" s="6"/>
      <c r="O281" s="5"/>
      <c r="P281" s="5"/>
      <c r="Q281" s="5"/>
      <c r="R281" s="5"/>
      <c r="S281" s="5"/>
      <c r="T281" s="6"/>
      <c r="U281" s="5"/>
      <c r="V281" s="277"/>
      <c r="W281" s="277"/>
      <c r="X281" s="277"/>
      <c r="Y281" s="5"/>
      <c r="Z281" s="6"/>
      <c r="AA281" s="5"/>
      <c r="AB281" s="5"/>
      <c r="AC281" s="5"/>
      <c r="AD281" s="5"/>
      <c r="AE281" s="5"/>
      <c r="AF281" s="5"/>
      <c r="AG281" s="277"/>
      <c r="AH281" s="277"/>
      <c r="AI281" s="277"/>
      <c r="AJ281" s="5"/>
      <c r="AK281" s="277"/>
      <c r="AL281" s="277"/>
      <c r="AM281" s="277"/>
      <c r="AN281" s="5"/>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row>
    <row r="282" spans="1:90" x14ac:dyDescent="0.25">
      <c r="A282" s="4"/>
      <c r="B282" s="276"/>
      <c r="C282" s="276"/>
      <c r="D282" s="277"/>
      <c r="E282" s="277"/>
      <c r="F282" s="277"/>
      <c r="G282" s="277"/>
      <c r="H282" s="4"/>
      <c r="I282" s="4"/>
      <c r="J282" s="4"/>
      <c r="K282" s="4"/>
      <c r="L282" s="4"/>
      <c r="M282" s="4"/>
      <c r="N282" s="105"/>
      <c r="O282" s="4"/>
      <c r="P282" s="4"/>
      <c r="Q282" s="4"/>
      <c r="R282" s="4"/>
      <c r="S282" s="4"/>
      <c r="T282" s="105"/>
      <c r="U282" s="4"/>
      <c r="V282" s="277"/>
      <c r="W282" s="277"/>
      <c r="X282" s="277"/>
      <c r="Y282" s="4"/>
      <c r="Z282" s="105"/>
      <c r="AA282" s="4"/>
      <c r="AB282" s="4"/>
      <c r="AC282" s="4"/>
      <c r="AD282" s="4"/>
      <c r="AE282" s="4"/>
      <c r="AF282" s="4"/>
      <c r="AG282" s="277"/>
      <c r="AH282" s="277"/>
      <c r="AI282" s="277"/>
      <c r="AJ282" s="4"/>
      <c r="AK282" s="277"/>
      <c r="AL282" s="277"/>
      <c r="AM282" s="277"/>
      <c r="AN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row>
    <row r="283" spans="1:90" x14ac:dyDescent="0.25">
      <c r="A283" s="4"/>
      <c r="B283" s="276"/>
      <c r="C283" s="276"/>
      <c r="D283" s="277"/>
      <c r="E283" s="277"/>
      <c r="F283" s="277"/>
      <c r="G283" s="277"/>
      <c r="H283" s="4"/>
      <c r="I283" s="4"/>
      <c r="J283" s="4"/>
      <c r="K283" s="4"/>
      <c r="L283" s="4"/>
      <c r="M283" s="4"/>
      <c r="N283" s="105"/>
      <c r="O283" s="4"/>
      <c r="P283" s="4"/>
      <c r="Q283" s="4"/>
      <c r="R283" s="4"/>
      <c r="S283" s="4"/>
      <c r="T283" s="105"/>
      <c r="U283" s="4"/>
      <c r="V283" s="277"/>
      <c r="W283" s="277"/>
      <c r="X283" s="277"/>
      <c r="Y283" s="4"/>
      <c r="Z283" s="105"/>
      <c r="AA283" s="4"/>
      <c r="AB283" s="4"/>
      <c r="AC283" s="4"/>
      <c r="AD283" s="4"/>
      <c r="AE283" s="4"/>
      <c r="AF283" s="4"/>
      <c r="AG283" s="277"/>
      <c r="AH283" s="277"/>
      <c r="AI283" s="277"/>
      <c r="AJ283" s="4"/>
      <c r="AK283" s="277"/>
      <c r="AL283" s="277"/>
      <c r="AM283" s="277"/>
      <c r="AN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row>
    <row r="284" spans="1:90" x14ac:dyDescent="0.25">
      <c r="A284" s="4"/>
      <c r="B284" s="276"/>
      <c r="C284" s="276"/>
      <c r="D284" s="277"/>
      <c r="E284" s="277"/>
      <c r="F284" s="277"/>
      <c r="G284" s="277"/>
      <c r="H284" s="4"/>
      <c r="I284" s="4"/>
      <c r="J284" s="4"/>
      <c r="K284" s="4"/>
      <c r="L284" s="4"/>
      <c r="M284" s="4"/>
      <c r="N284" s="105"/>
      <c r="O284" s="4"/>
      <c r="P284" s="4"/>
      <c r="Q284" s="4"/>
      <c r="R284" s="4"/>
      <c r="S284" s="4"/>
      <c r="T284" s="105"/>
      <c r="U284" s="4"/>
      <c r="V284" s="277"/>
      <c r="W284" s="277"/>
      <c r="X284" s="277"/>
      <c r="Y284" s="4"/>
      <c r="Z284" s="105"/>
      <c r="AA284" s="4"/>
      <c r="AB284" s="4"/>
      <c r="AC284" s="4"/>
      <c r="AD284" s="4"/>
      <c r="AE284" s="4"/>
      <c r="AF284" s="4"/>
      <c r="AG284" s="277"/>
      <c r="AH284" s="277"/>
      <c r="AI284" s="277"/>
      <c r="AJ284" s="4"/>
      <c r="AK284" s="277"/>
      <c r="AL284" s="277"/>
      <c r="AM284" s="277"/>
      <c r="AN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row>
    <row r="285" spans="1:90" x14ac:dyDescent="0.25">
      <c r="A285" s="4"/>
      <c r="B285" s="276"/>
      <c r="C285" s="276"/>
      <c r="D285" s="277"/>
      <c r="E285" s="277"/>
      <c r="F285" s="277"/>
      <c r="G285" s="277"/>
      <c r="H285" s="4"/>
      <c r="I285" s="4"/>
      <c r="J285" s="4"/>
      <c r="K285" s="4"/>
      <c r="L285" s="4"/>
      <c r="M285" s="4"/>
      <c r="N285" s="105"/>
      <c r="O285" s="4"/>
      <c r="P285" s="4"/>
      <c r="Q285" s="4"/>
      <c r="R285" s="4"/>
      <c r="S285" s="4"/>
      <c r="T285" s="105"/>
      <c r="U285" s="4"/>
      <c r="V285" s="277"/>
      <c r="W285" s="277"/>
      <c r="X285" s="277"/>
      <c r="Y285" s="4"/>
      <c r="Z285" s="105"/>
      <c r="AA285" s="4"/>
      <c r="AB285" s="4"/>
      <c r="AC285" s="4"/>
      <c r="AD285" s="4"/>
      <c r="AE285" s="4"/>
      <c r="AF285" s="4"/>
      <c r="AG285" s="277"/>
      <c r="AH285" s="277"/>
      <c r="AI285" s="277"/>
      <c r="AJ285" s="4"/>
      <c r="AK285" s="277"/>
      <c r="AL285" s="277"/>
      <c r="AM285" s="277"/>
      <c r="AN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row>
    <row r="286" spans="1:90" x14ac:dyDescent="0.25">
      <c r="A286" s="4"/>
      <c r="B286" s="276"/>
      <c r="C286" s="276"/>
      <c r="D286" s="277"/>
      <c r="E286" s="277"/>
      <c r="F286" s="277"/>
      <c r="G286" s="277"/>
      <c r="H286" s="5"/>
      <c r="I286" s="5"/>
      <c r="J286" s="5"/>
      <c r="K286" s="5"/>
      <c r="L286" s="5"/>
      <c r="M286" s="5"/>
      <c r="N286" s="6"/>
      <c r="O286" s="5"/>
      <c r="P286" s="5"/>
      <c r="Q286" s="5"/>
      <c r="R286" s="5"/>
      <c r="S286" s="5"/>
      <c r="T286" s="6"/>
      <c r="U286" s="5"/>
      <c r="V286" s="277"/>
      <c r="W286" s="277"/>
      <c r="X286" s="277"/>
      <c r="Y286" s="5"/>
      <c r="Z286" s="6"/>
      <c r="AA286" s="5"/>
      <c r="AB286" s="5"/>
      <c r="AC286" s="5"/>
      <c r="AD286" s="5"/>
      <c r="AE286" s="5"/>
      <c r="AF286" s="5"/>
      <c r="AG286" s="277"/>
      <c r="AH286" s="277"/>
      <c r="AI286" s="277"/>
      <c r="AJ286" s="5"/>
      <c r="AK286" s="277"/>
      <c r="AL286" s="277"/>
      <c r="AM286" s="277"/>
      <c r="AN286" s="5"/>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row>
    <row r="287" spans="1:90" x14ac:dyDescent="0.25">
      <c r="A287" s="4"/>
      <c r="B287" s="276"/>
      <c r="C287" s="276"/>
      <c r="D287" s="277"/>
      <c r="E287" s="277"/>
      <c r="F287" s="277"/>
      <c r="G287" s="277"/>
      <c r="H287" s="4"/>
      <c r="I287" s="4"/>
      <c r="J287" s="4"/>
      <c r="K287" s="4"/>
      <c r="L287" s="4"/>
      <c r="M287" s="4"/>
      <c r="N287" s="105"/>
      <c r="O287" s="4"/>
      <c r="P287" s="4"/>
      <c r="Q287" s="4"/>
      <c r="R287" s="4"/>
      <c r="S287" s="4"/>
      <c r="T287" s="105"/>
      <c r="U287" s="4"/>
      <c r="V287" s="277"/>
      <c r="W287" s="277"/>
      <c r="X287" s="277"/>
      <c r="Y287" s="4"/>
      <c r="Z287" s="105"/>
      <c r="AA287" s="4"/>
      <c r="AB287" s="4"/>
      <c r="AC287" s="4"/>
      <c r="AD287" s="4"/>
      <c r="AE287" s="4"/>
      <c r="AF287" s="4"/>
      <c r="AG287" s="277"/>
      <c r="AH287" s="277"/>
      <c r="AI287" s="277"/>
      <c r="AJ287" s="4"/>
      <c r="AK287" s="277"/>
      <c r="AL287" s="277"/>
      <c r="AM287" s="277"/>
      <c r="AN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row>
    <row r="288" spans="1:90" x14ac:dyDescent="0.25">
      <c r="A288" s="4"/>
      <c r="B288" s="276"/>
      <c r="C288" s="276"/>
      <c r="D288" s="277"/>
      <c r="E288" s="277"/>
      <c r="F288" s="277"/>
      <c r="G288" s="277"/>
      <c r="H288" s="4"/>
      <c r="I288" s="4"/>
      <c r="J288" s="4"/>
      <c r="K288" s="4"/>
      <c r="L288" s="4"/>
      <c r="M288" s="4"/>
      <c r="N288" s="105"/>
      <c r="O288" s="4"/>
      <c r="P288" s="4"/>
      <c r="Q288" s="4"/>
      <c r="R288" s="4"/>
      <c r="S288" s="4"/>
      <c r="T288" s="105"/>
      <c r="U288" s="4"/>
      <c r="V288" s="277"/>
      <c r="W288" s="277"/>
      <c r="X288" s="277"/>
      <c r="Y288" s="4"/>
      <c r="Z288" s="105"/>
      <c r="AA288" s="4"/>
      <c r="AB288" s="4"/>
      <c r="AC288" s="4"/>
      <c r="AD288" s="4"/>
      <c r="AE288" s="4"/>
      <c r="AF288" s="4"/>
      <c r="AG288" s="277"/>
      <c r="AH288" s="277"/>
      <c r="AI288" s="277"/>
      <c r="AJ288" s="4"/>
      <c r="AK288" s="277"/>
      <c r="AL288" s="277"/>
      <c r="AM288" s="277"/>
      <c r="AN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row>
    <row r="289" spans="1:90" x14ac:dyDescent="0.25">
      <c r="A289" s="4"/>
      <c r="B289" s="276"/>
      <c r="C289" s="276"/>
      <c r="D289" s="277"/>
      <c r="E289" s="277"/>
      <c r="F289" s="277"/>
      <c r="G289" s="277"/>
      <c r="H289" s="4"/>
      <c r="I289" s="4"/>
      <c r="J289" s="4"/>
      <c r="K289" s="4"/>
      <c r="L289" s="4"/>
      <c r="M289" s="4"/>
      <c r="N289" s="105"/>
      <c r="O289" s="4"/>
      <c r="P289" s="4"/>
      <c r="Q289" s="4"/>
      <c r="R289" s="4"/>
      <c r="S289" s="4"/>
      <c r="T289" s="105"/>
      <c r="U289" s="4"/>
      <c r="V289" s="277"/>
      <c r="W289" s="277"/>
      <c r="X289" s="277"/>
      <c r="Y289" s="4"/>
      <c r="Z289" s="105"/>
      <c r="AA289" s="4"/>
      <c r="AB289" s="4"/>
      <c r="AC289" s="4"/>
      <c r="AD289" s="4"/>
      <c r="AE289" s="4"/>
      <c r="AF289" s="4"/>
      <c r="AG289" s="277"/>
      <c r="AH289" s="277"/>
      <c r="AI289" s="277"/>
      <c r="AJ289" s="4"/>
      <c r="AK289" s="277"/>
      <c r="AL289" s="277"/>
      <c r="AM289" s="277"/>
      <c r="AN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row>
    <row r="290" spans="1:90" x14ac:dyDescent="0.25">
      <c r="A290" s="4"/>
      <c r="B290" s="276"/>
      <c r="C290" s="276"/>
      <c r="D290" s="277"/>
      <c r="E290" s="277"/>
      <c r="F290" s="277"/>
      <c r="G290" s="277"/>
      <c r="H290" s="4"/>
      <c r="I290" s="4"/>
      <c r="J290" s="4"/>
      <c r="K290" s="4"/>
      <c r="L290" s="4"/>
      <c r="M290" s="4"/>
      <c r="N290" s="105"/>
      <c r="O290" s="4"/>
      <c r="P290" s="4"/>
      <c r="Q290" s="4"/>
      <c r="R290" s="4"/>
      <c r="S290" s="4"/>
      <c r="T290" s="105"/>
      <c r="U290" s="4"/>
      <c r="V290" s="277"/>
      <c r="W290" s="277"/>
      <c r="X290" s="277"/>
      <c r="Y290" s="4"/>
      <c r="Z290" s="105"/>
      <c r="AA290" s="4"/>
      <c r="AB290" s="4"/>
      <c r="AC290" s="4"/>
      <c r="AD290" s="4"/>
      <c r="AE290" s="4"/>
      <c r="AF290" s="4"/>
      <c r="AG290" s="277"/>
      <c r="AH290" s="277"/>
      <c r="AI290" s="277"/>
      <c r="AJ290" s="4"/>
      <c r="AK290" s="277"/>
      <c r="AL290" s="277"/>
      <c r="AM290" s="277"/>
      <c r="AN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row>
    <row r="291" spans="1:90" x14ac:dyDescent="0.25">
      <c r="A291" s="4"/>
      <c r="B291" s="276"/>
      <c r="C291" s="276"/>
      <c r="D291" s="277"/>
      <c r="E291" s="277"/>
      <c r="F291" s="277"/>
      <c r="G291" s="277"/>
      <c r="H291" s="5"/>
      <c r="I291" s="5"/>
      <c r="J291" s="5"/>
      <c r="K291" s="5"/>
      <c r="L291" s="5"/>
      <c r="M291" s="5"/>
      <c r="N291" s="6"/>
      <c r="O291" s="5"/>
      <c r="P291" s="5"/>
      <c r="Q291" s="5"/>
      <c r="R291" s="5"/>
      <c r="S291" s="5"/>
      <c r="T291" s="6"/>
      <c r="U291" s="5"/>
      <c r="V291" s="277"/>
      <c r="W291" s="277"/>
      <c r="X291" s="277"/>
      <c r="Y291" s="5"/>
      <c r="Z291" s="6"/>
      <c r="AA291" s="5"/>
      <c r="AB291" s="5"/>
      <c r="AC291" s="5"/>
      <c r="AD291" s="5"/>
      <c r="AE291" s="5"/>
      <c r="AF291" s="5"/>
      <c r="AG291" s="277"/>
      <c r="AH291" s="277"/>
      <c r="AI291" s="277"/>
      <c r="AJ291" s="5"/>
      <c r="AK291" s="277"/>
      <c r="AL291" s="277"/>
      <c r="AM291" s="277"/>
      <c r="AN291" s="5"/>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row>
    <row r="292" spans="1:90" x14ac:dyDescent="0.25">
      <c r="A292" s="4"/>
      <c r="B292" s="276"/>
      <c r="C292" s="276"/>
      <c r="D292" s="277"/>
      <c r="E292" s="277"/>
      <c r="F292" s="277"/>
      <c r="G292" s="277"/>
      <c r="H292" s="4"/>
      <c r="I292" s="4"/>
      <c r="J292" s="4"/>
      <c r="K292" s="4"/>
      <c r="L292" s="4"/>
      <c r="M292" s="4"/>
      <c r="N292" s="105"/>
      <c r="O292" s="4"/>
      <c r="P292" s="4"/>
      <c r="Q292" s="4"/>
      <c r="R292" s="4"/>
      <c r="S292" s="4"/>
      <c r="T292" s="105"/>
      <c r="U292" s="4"/>
      <c r="V292" s="277"/>
      <c r="W292" s="277"/>
      <c r="X292" s="277"/>
      <c r="Y292" s="4"/>
      <c r="Z292" s="105"/>
      <c r="AA292" s="4"/>
      <c r="AB292" s="4"/>
      <c r="AC292" s="4"/>
      <c r="AD292" s="4"/>
      <c r="AE292" s="4"/>
      <c r="AF292" s="4"/>
      <c r="AG292" s="277"/>
      <c r="AH292" s="277"/>
      <c r="AI292" s="277"/>
      <c r="AJ292" s="4"/>
      <c r="AK292" s="277"/>
      <c r="AL292" s="277"/>
      <c r="AM292" s="277"/>
      <c r="AN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row>
    <row r="293" spans="1:90" x14ac:dyDescent="0.25">
      <c r="A293" s="4"/>
      <c r="B293" s="276"/>
      <c r="C293" s="276"/>
      <c r="D293" s="277"/>
      <c r="E293" s="277"/>
      <c r="F293" s="277"/>
      <c r="G293" s="277"/>
      <c r="H293" s="4"/>
      <c r="I293" s="4"/>
      <c r="J293" s="4"/>
      <c r="K293" s="4"/>
      <c r="L293" s="4"/>
      <c r="M293" s="4"/>
      <c r="N293" s="105"/>
      <c r="O293" s="4"/>
      <c r="P293" s="4"/>
      <c r="Q293" s="4"/>
      <c r="R293" s="4"/>
      <c r="S293" s="4"/>
      <c r="T293" s="105"/>
      <c r="U293" s="4"/>
      <c r="V293" s="277"/>
      <c r="W293" s="277"/>
      <c r="X293" s="277"/>
      <c r="Y293" s="4"/>
      <c r="Z293" s="105"/>
      <c r="AA293" s="4"/>
      <c r="AB293" s="4"/>
      <c r="AC293" s="4"/>
      <c r="AD293" s="4"/>
      <c r="AE293" s="4"/>
      <c r="AF293" s="4"/>
      <c r="AG293" s="277"/>
      <c r="AH293" s="277"/>
      <c r="AI293" s="277"/>
      <c r="AJ293" s="4"/>
      <c r="AK293" s="277"/>
      <c r="AL293" s="277"/>
      <c r="AM293" s="277"/>
      <c r="AN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row>
    <row r="294" spans="1:90" x14ac:dyDescent="0.25">
      <c r="A294" s="4"/>
      <c r="B294" s="276"/>
      <c r="C294" s="276"/>
      <c r="D294" s="277"/>
      <c r="E294" s="277"/>
      <c r="F294" s="277"/>
      <c r="G294" s="277"/>
      <c r="H294" s="4"/>
      <c r="I294" s="4"/>
      <c r="J294" s="4"/>
      <c r="K294" s="4"/>
      <c r="L294" s="4"/>
      <c r="M294" s="4"/>
      <c r="N294" s="105"/>
      <c r="O294" s="4"/>
      <c r="P294" s="4"/>
      <c r="Q294" s="4"/>
      <c r="R294" s="4"/>
      <c r="S294" s="4"/>
      <c r="T294" s="105"/>
      <c r="U294" s="4"/>
      <c r="V294" s="277"/>
      <c r="W294" s="277"/>
      <c r="X294" s="277"/>
      <c r="Y294" s="4"/>
      <c r="Z294" s="105"/>
      <c r="AA294" s="4"/>
      <c r="AB294" s="4"/>
      <c r="AC294" s="4"/>
      <c r="AD294" s="4"/>
      <c r="AE294" s="4"/>
      <c r="AF294" s="4"/>
      <c r="AG294" s="277"/>
      <c r="AH294" s="277"/>
      <c r="AI294" s="277"/>
      <c r="AJ294" s="4"/>
      <c r="AK294" s="277"/>
      <c r="AL294" s="277"/>
      <c r="AM294" s="277"/>
      <c r="AN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row>
    <row r="295" spans="1:90" x14ac:dyDescent="0.25">
      <c r="A295" s="4"/>
      <c r="B295" s="276"/>
      <c r="C295" s="276"/>
      <c r="D295" s="277"/>
      <c r="E295" s="277"/>
      <c r="F295" s="277"/>
      <c r="G295" s="277"/>
      <c r="H295" s="4"/>
      <c r="I295" s="4"/>
      <c r="J295" s="4"/>
      <c r="K295" s="4"/>
      <c r="L295" s="4"/>
      <c r="M295" s="4"/>
      <c r="N295" s="105"/>
      <c r="O295" s="4"/>
      <c r="P295" s="4"/>
      <c r="Q295" s="4"/>
      <c r="R295" s="4"/>
      <c r="S295" s="4"/>
      <c r="T295" s="105"/>
      <c r="U295" s="4"/>
      <c r="V295" s="277"/>
      <c r="W295" s="277"/>
      <c r="X295" s="277"/>
      <c r="Y295" s="4"/>
      <c r="Z295" s="105"/>
      <c r="AA295" s="4"/>
      <c r="AB295" s="4"/>
      <c r="AC295" s="4"/>
      <c r="AD295" s="4"/>
      <c r="AE295" s="4"/>
      <c r="AF295" s="4"/>
      <c r="AG295" s="277"/>
      <c r="AH295" s="277"/>
      <c r="AI295" s="277"/>
      <c r="AJ295" s="4"/>
      <c r="AK295" s="277"/>
      <c r="AL295" s="277"/>
      <c r="AM295" s="277"/>
      <c r="AN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row>
    <row r="296" spans="1:90" x14ac:dyDescent="0.25">
      <c r="A296" s="4"/>
      <c r="B296" s="276"/>
      <c r="C296" s="276"/>
      <c r="D296" s="277"/>
      <c r="E296" s="277"/>
      <c r="F296" s="277"/>
      <c r="G296" s="277"/>
      <c r="H296" s="5"/>
      <c r="I296" s="5"/>
      <c r="J296" s="5"/>
      <c r="K296" s="5"/>
      <c r="L296" s="5"/>
      <c r="M296" s="5"/>
      <c r="N296" s="6"/>
      <c r="O296" s="5"/>
      <c r="P296" s="5"/>
      <c r="Q296" s="5"/>
      <c r="R296" s="5"/>
      <c r="S296" s="5"/>
      <c r="T296" s="6"/>
      <c r="U296" s="5"/>
      <c r="V296" s="277"/>
      <c r="W296" s="277"/>
      <c r="X296" s="277"/>
      <c r="Y296" s="5"/>
      <c r="Z296" s="6"/>
      <c r="AA296" s="5"/>
      <c r="AB296" s="5"/>
      <c r="AC296" s="5"/>
      <c r="AD296" s="5"/>
      <c r="AE296" s="5"/>
      <c r="AF296" s="5"/>
      <c r="AG296" s="277"/>
      <c r="AH296" s="277"/>
      <c r="AI296" s="277"/>
      <c r="AJ296" s="5"/>
      <c r="AK296" s="277"/>
      <c r="AL296" s="277"/>
      <c r="AM296" s="277"/>
      <c r="AN296" s="5"/>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row>
    <row r="297" spans="1:90" x14ac:dyDescent="0.25">
      <c r="A297" s="4"/>
      <c r="B297" s="276"/>
      <c r="C297" s="276"/>
      <c r="D297" s="277"/>
      <c r="E297" s="277"/>
      <c r="F297" s="277"/>
      <c r="G297" s="277"/>
      <c r="H297" s="4"/>
      <c r="I297" s="4"/>
      <c r="J297" s="4"/>
      <c r="K297" s="4"/>
      <c r="L297" s="4"/>
      <c r="M297" s="4"/>
      <c r="N297" s="105"/>
      <c r="O297" s="4"/>
      <c r="P297" s="4"/>
      <c r="Q297" s="4"/>
      <c r="R297" s="4"/>
      <c r="S297" s="4"/>
      <c r="T297" s="105"/>
      <c r="U297" s="4"/>
      <c r="V297" s="277"/>
      <c r="W297" s="277"/>
      <c r="X297" s="277"/>
      <c r="Y297" s="4"/>
      <c r="Z297" s="105"/>
      <c r="AA297" s="4"/>
      <c r="AB297" s="4"/>
      <c r="AC297" s="4"/>
      <c r="AD297" s="4"/>
      <c r="AE297" s="4"/>
      <c r="AF297" s="4"/>
      <c r="AG297" s="277"/>
      <c r="AH297" s="277"/>
      <c r="AI297" s="277"/>
      <c r="AJ297" s="4"/>
      <c r="AK297" s="277"/>
      <c r="AL297" s="277"/>
      <c r="AM297" s="277"/>
      <c r="AN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row>
    <row r="298" spans="1:90" x14ac:dyDescent="0.25">
      <c r="A298" s="4"/>
      <c r="B298" s="276"/>
      <c r="C298" s="276"/>
      <c r="D298" s="277"/>
      <c r="E298" s="277"/>
      <c r="F298" s="277"/>
      <c r="G298" s="277"/>
      <c r="H298" s="4"/>
      <c r="I298" s="4"/>
      <c r="J298" s="4"/>
      <c r="K298" s="4"/>
      <c r="L298" s="4"/>
      <c r="M298" s="4"/>
      <c r="N298" s="105"/>
      <c r="O298" s="4"/>
      <c r="P298" s="4"/>
      <c r="Q298" s="4"/>
      <c r="R298" s="4"/>
      <c r="S298" s="4"/>
      <c r="T298" s="105"/>
      <c r="U298" s="4"/>
      <c r="V298" s="277"/>
      <c r="W298" s="277"/>
      <c r="X298" s="277"/>
      <c r="Y298" s="4"/>
      <c r="Z298" s="105"/>
      <c r="AA298" s="4"/>
      <c r="AB298" s="4"/>
      <c r="AC298" s="4"/>
      <c r="AD298" s="4"/>
      <c r="AE298" s="4"/>
      <c r="AF298" s="4"/>
      <c r="AG298" s="277"/>
      <c r="AH298" s="277"/>
      <c r="AI298" s="277"/>
      <c r="AJ298" s="4"/>
      <c r="AK298" s="277"/>
      <c r="AL298" s="277"/>
      <c r="AM298" s="277"/>
      <c r="AN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row>
    <row r="299" spans="1:90" x14ac:dyDescent="0.25">
      <c r="A299" s="4"/>
      <c r="B299" s="276"/>
      <c r="C299" s="276"/>
      <c r="D299" s="277"/>
      <c r="E299" s="277"/>
      <c r="F299" s="277"/>
      <c r="G299" s="277"/>
      <c r="H299" s="4"/>
      <c r="I299" s="4"/>
      <c r="J299" s="4"/>
      <c r="K299" s="4"/>
      <c r="L299" s="4"/>
      <c r="M299" s="4"/>
      <c r="N299" s="105"/>
      <c r="O299" s="4"/>
      <c r="P299" s="4"/>
      <c r="Q299" s="4"/>
      <c r="R299" s="4"/>
      <c r="S299" s="4"/>
      <c r="T299" s="105"/>
      <c r="U299" s="4"/>
      <c r="V299" s="277"/>
      <c r="W299" s="277"/>
      <c r="X299" s="277"/>
      <c r="Y299" s="4"/>
      <c r="Z299" s="105"/>
      <c r="AA299" s="4"/>
      <c r="AB299" s="4"/>
      <c r="AC299" s="4"/>
      <c r="AD299" s="4"/>
      <c r="AE299" s="4"/>
      <c r="AF299" s="4"/>
      <c r="AG299" s="277"/>
      <c r="AH299" s="277"/>
      <c r="AI299" s="277"/>
      <c r="AJ299" s="4"/>
      <c r="AK299" s="277"/>
      <c r="AL299" s="277"/>
      <c r="AM299" s="277"/>
      <c r="AN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row>
    <row r="300" spans="1:90" x14ac:dyDescent="0.25">
      <c r="A300" s="4"/>
      <c r="B300" s="276"/>
      <c r="C300" s="276"/>
      <c r="D300" s="277"/>
      <c r="E300" s="277"/>
      <c r="F300" s="277"/>
      <c r="G300" s="277"/>
      <c r="H300" s="4"/>
      <c r="I300" s="4"/>
      <c r="J300" s="4"/>
      <c r="K300" s="4"/>
      <c r="L300" s="4"/>
      <c r="M300" s="4"/>
      <c r="N300" s="105"/>
      <c r="O300" s="4"/>
      <c r="P300" s="4"/>
      <c r="Q300" s="4"/>
      <c r="R300" s="4"/>
      <c r="S300" s="4"/>
      <c r="T300" s="105"/>
      <c r="U300" s="4"/>
      <c r="V300" s="277"/>
      <c r="W300" s="277"/>
      <c r="X300" s="277"/>
      <c r="Y300" s="4"/>
      <c r="Z300" s="105"/>
      <c r="AA300" s="4"/>
      <c r="AB300" s="4"/>
      <c r="AC300" s="4"/>
      <c r="AD300" s="4"/>
      <c r="AE300" s="4"/>
      <c r="AF300" s="4"/>
      <c r="AG300" s="277"/>
      <c r="AH300" s="277"/>
      <c r="AI300" s="277"/>
      <c r="AJ300" s="4"/>
      <c r="AK300" s="277"/>
      <c r="AL300" s="277"/>
      <c r="AM300" s="277"/>
      <c r="AN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row>
    <row r="301" spans="1:90" x14ac:dyDescent="0.25">
      <c r="A301" s="4"/>
      <c r="B301" s="276"/>
      <c r="C301" s="276"/>
      <c r="D301" s="277"/>
      <c r="E301" s="277"/>
      <c r="F301" s="277"/>
      <c r="G301" s="277"/>
      <c r="H301" s="4"/>
      <c r="I301" s="4"/>
      <c r="J301" s="4"/>
      <c r="K301" s="4"/>
      <c r="L301" s="4"/>
      <c r="M301" s="4"/>
      <c r="N301" s="105"/>
      <c r="O301" s="4"/>
      <c r="P301" s="4"/>
      <c r="Q301" s="4"/>
      <c r="R301" s="4"/>
      <c r="S301" s="4"/>
      <c r="T301" s="105"/>
      <c r="U301" s="4"/>
      <c r="V301" s="277"/>
      <c r="W301" s="277"/>
      <c r="X301" s="277"/>
      <c r="Y301" s="4"/>
      <c r="Z301" s="105"/>
      <c r="AA301" s="4"/>
      <c r="AB301" s="4"/>
      <c r="AC301" s="4"/>
      <c r="AD301" s="4"/>
      <c r="AE301" s="4"/>
      <c r="AF301" s="4"/>
      <c r="AG301" s="277"/>
      <c r="AH301" s="277"/>
      <c r="AI301" s="277"/>
      <c r="AJ301" s="4"/>
      <c r="AK301" s="277"/>
      <c r="AL301" s="277"/>
      <c r="AM301" s="277"/>
      <c r="AN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row>
    <row r="302" spans="1:90" x14ac:dyDescent="0.25">
      <c r="A302" s="4"/>
      <c r="B302" s="272"/>
      <c r="C302" s="272"/>
      <c r="D302" s="4"/>
      <c r="E302" s="4"/>
      <c r="F302" s="4"/>
      <c r="G302" s="4"/>
      <c r="H302" s="4"/>
      <c r="I302" s="4"/>
      <c r="J302" s="4"/>
      <c r="K302" s="4"/>
      <c r="L302" s="4"/>
      <c r="M302" s="4"/>
      <c r="N302" s="105"/>
      <c r="O302" s="4"/>
      <c r="P302" s="4"/>
      <c r="Q302" s="4"/>
      <c r="R302" s="4"/>
      <c r="S302" s="4"/>
      <c r="T302" s="105"/>
      <c r="U302" s="4"/>
      <c r="V302" s="4"/>
      <c r="W302" s="4"/>
      <c r="X302" s="4"/>
      <c r="Y302" s="4"/>
      <c r="Z302" s="105"/>
      <c r="AA302" s="4"/>
      <c r="AB302" s="4"/>
      <c r="AC302" s="4"/>
      <c r="AD302" s="4"/>
      <c r="AE302" s="4"/>
      <c r="AF302" s="4"/>
      <c r="AG302" s="4"/>
      <c r="AH302" s="4"/>
      <c r="AI302" s="4"/>
      <c r="AJ302" s="4"/>
      <c r="AK302" s="4"/>
      <c r="AL302" s="4"/>
      <c r="AM302" s="4"/>
      <c r="AN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row>
    <row r="303" spans="1:90" x14ac:dyDescent="0.25">
      <c r="A303" s="4"/>
      <c r="B303" s="272"/>
      <c r="C303" s="272"/>
      <c r="D303" s="4"/>
      <c r="E303" s="4"/>
      <c r="F303" s="4"/>
      <c r="G303" s="4"/>
      <c r="H303" s="4"/>
      <c r="I303" s="4"/>
      <c r="J303" s="4"/>
      <c r="K303" s="4"/>
      <c r="L303" s="4"/>
      <c r="M303" s="4"/>
      <c r="N303" s="105"/>
      <c r="O303" s="4"/>
      <c r="P303" s="4"/>
      <c r="Q303" s="4"/>
      <c r="R303" s="4"/>
      <c r="S303" s="4"/>
      <c r="T303" s="105"/>
      <c r="U303" s="4"/>
      <c r="V303" s="4"/>
      <c r="W303" s="4"/>
      <c r="X303" s="4"/>
      <c r="Y303" s="4"/>
      <c r="Z303" s="105"/>
      <c r="AA303" s="4"/>
      <c r="AB303" s="4"/>
      <c r="AC303" s="4"/>
      <c r="AD303" s="4"/>
      <c r="AE303" s="4"/>
      <c r="AF303" s="4"/>
      <c r="AG303" s="4"/>
      <c r="AH303" s="4"/>
      <c r="AI303" s="4"/>
      <c r="AJ303" s="4"/>
      <c r="AK303" s="4"/>
      <c r="AL303" s="4"/>
      <c r="AM303" s="4"/>
      <c r="AN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row>
    <row r="304" spans="1:90" x14ac:dyDescent="0.25">
      <c r="A304" s="4"/>
      <c r="B304" s="272"/>
      <c r="C304" s="272"/>
      <c r="D304" s="4"/>
      <c r="E304" s="4"/>
      <c r="F304" s="4"/>
      <c r="G304" s="4"/>
      <c r="H304" s="4"/>
      <c r="I304" s="4"/>
      <c r="J304" s="4"/>
      <c r="K304" s="4"/>
      <c r="L304" s="4"/>
      <c r="M304" s="4"/>
      <c r="N304" s="105"/>
      <c r="O304" s="4"/>
      <c r="P304" s="4"/>
      <c r="Q304" s="4"/>
      <c r="R304" s="4"/>
      <c r="S304" s="4"/>
      <c r="T304" s="105"/>
      <c r="U304" s="4"/>
      <c r="V304" s="4"/>
      <c r="W304" s="4"/>
      <c r="X304" s="4"/>
      <c r="Y304" s="4"/>
      <c r="Z304" s="105"/>
      <c r="AA304" s="4"/>
      <c r="AB304" s="4"/>
      <c r="AC304" s="4"/>
      <c r="AD304" s="4"/>
      <c r="AE304" s="4"/>
      <c r="AF304" s="4"/>
      <c r="AG304" s="4"/>
      <c r="AH304" s="4"/>
      <c r="AI304" s="4"/>
      <c r="AJ304" s="4"/>
      <c r="AK304" s="4"/>
      <c r="AL304" s="4"/>
      <c r="AM304" s="4"/>
      <c r="AN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row>
    <row r="305" spans="1:90" x14ac:dyDescent="0.25">
      <c r="A305" s="4"/>
      <c r="B305" s="9"/>
      <c r="C305" s="9"/>
      <c r="D305" s="7"/>
      <c r="E305" s="7"/>
      <c r="F305" s="7"/>
      <c r="G305" s="7"/>
      <c r="H305" s="4"/>
      <c r="I305" s="4"/>
      <c r="J305" s="4"/>
      <c r="K305" s="4"/>
      <c r="L305" s="4"/>
      <c r="M305" s="4"/>
      <c r="N305" s="105"/>
      <c r="O305" s="4"/>
      <c r="P305" s="4"/>
      <c r="Q305" s="4"/>
      <c r="R305" s="4"/>
      <c r="S305" s="4"/>
      <c r="T305" s="105"/>
      <c r="U305" s="4"/>
      <c r="V305" s="7"/>
      <c r="W305" s="7"/>
      <c r="X305" s="7"/>
      <c r="Y305" s="4"/>
      <c r="Z305" s="105"/>
      <c r="AA305" s="4"/>
      <c r="AB305" s="4"/>
      <c r="AC305" s="4"/>
      <c r="AD305" s="4"/>
      <c r="AE305" s="4"/>
      <c r="AF305" s="4"/>
      <c r="AG305" s="7"/>
      <c r="AH305" s="7"/>
      <c r="AI305" s="7"/>
      <c r="AJ305" s="4"/>
      <c r="AK305" s="7"/>
      <c r="AL305" s="7"/>
      <c r="AM305" s="7"/>
      <c r="AN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row>
    <row r="306" spans="1:90" s="280" customFormat="1" x14ac:dyDescent="0.25">
      <c r="A306" s="5"/>
      <c r="B306" s="9"/>
      <c r="C306" s="9"/>
      <c r="D306" s="7"/>
      <c r="E306" s="7"/>
      <c r="F306" s="7"/>
      <c r="G306" s="7"/>
      <c r="H306" s="5"/>
      <c r="I306" s="5"/>
      <c r="J306" s="5"/>
      <c r="K306" s="5"/>
      <c r="L306" s="5"/>
      <c r="M306" s="5"/>
      <c r="N306" s="6"/>
      <c r="O306" s="5"/>
      <c r="P306" s="5"/>
      <c r="Q306" s="5"/>
      <c r="R306" s="5"/>
      <c r="S306" s="5"/>
      <c r="T306" s="6"/>
      <c r="U306" s="5"/>
      <c r="V306" s="7"/>
      <c r="W306" s="7"/>
      <c r="X306" s="7"/>
      <c r="Y306" s="5"/>
      <c r="Z306" s="6"/>
      <c r="AA306" s="5"/>
      <c r="AB306" s="5"/>
      <c r="AC306" s="5"/>
      <c r="AD306" s="5"/>
      <c r="AE306" s="5"/>
      <c r="AF306" s="5"/>
      <c r="AG306" s="7"/>
      <c r="AH306" s="7"/>
      <c r="AI306" s="7"/>
      <c r="AJ306" s="5"/>
      <c r="AK306" s="7"/>
      <c r="AL306" s="7"/>
      <c r="AM306" s="7"/>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row>
    <row r="307" spans="1:90" x14ac:dyDescent="0.25">
      <c r="A307" s="4"/>
      <c r="B307" s="272"/>
      <c r="C307" s="272"/>
      <c r="D307" s="4"/>
      <c r="E307" s="4"/>
      <c r="F307" s="4"/>
      <c r="G307" s="4"/>
      <c r="H307" s="4"/>
      <c r="I307" s="4"/>
      <c r="J307" s="4"/>
      <c r="K307" s="4"/>
      <c r="L307" s="4"/>
      <c r="M307" s="4"/>
      <c r="N307" s="105"/>
      <c r="O307" s="4"/>
      <c r="P307" s="4"/>
      <c r="Q307" s="4"/>
      <c r="R307" s="4"/>
      <c r="S307" s="4"/>
      <c r="T307" s="105"/>
      <c r="U307" s="4"/>
      <c r="V307" s="4"/>
      <c r="W307" s="4"/>
      <c r="X307" s="4"/>
      <c r="Y307" s="4"/>
      <c r="Z307" s="105"/>
      <c r="AA307" s="4"/>
      <c r="AB307" s="4"/>
      <c r="AC307" s="4"/>
      <c r="AD307" s="4"/>
      <c r="AE307" s="4"/>
      <c r="AF307" s="4"/>
      <c r="AG307" s="4"/>
      <c r="AH307" s="4"/>
      <c r="AI307" s="4"/>
      <c r="AJ307" s="4"/>
      <c r="AK307" s="4"/>
      <c r="AL307" s="4"/>
      <c r="AM307" s="4"/>
      <c r="AN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row>
    <row r="308" spans="1:90" x14ac:dyDescent="0.25">
      <c r="A308" s="4"/>
      <c r="B308" s="272"/>
      <c r="C308" s="272"/>
      <c r="D308" s="4"/>
      <c r="E308" s="4"/>
      <c r="F308" s="4"/>
      <c r="G308" s="4"/>
      <c r="H308" s="4"/>
      <c r="I308" s="4"/>
      <c r="J308" s="4"/>
      <c r="K308" s="4"/>
      <c r="L308" s="4"/>
      <c r="M308" s="4"/>
      <c r="N308" s="105"/>
      <c r="O308" s="4"/>
      <c r="P308" s="4"/>
      <c r="Q308" s="4"/>
      <c r="R308" s="4"/>
      <c r="S308" s="4"/>
      <c r="T308" s="105"/>
      <c r="U308" s="4"/>
      <c r="V308" s="4"/>
      <c r="W308" s="4"/>
      <c r="X308" s="4"/>
      <c r="Y308" s="4"/>
      <c r="Z308" s="105"/>
      <c r="AA308" s="4"/>
      <c r="AB308" s="4"/>
      <c r="AC308" s="4"/>
      <c r="AD308" s="4"/>
      <c r="AE308" s="4"/>
      <c r="AF308" s="4"/>
      <c r="AG308" s="4"/>
      <c r="AH308" s="4"/>
      <c r="AI308" s="4"/>
      <c r="AJ308" s="4"/>
      <c r="AK308" s="4"/>
      <c r="AL308" s="4"/>
      <c r="AM308" s="4"/>
      <c r="AN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row>
    <row r="309" spans="1:90" x14ac:dyDescent="0.25">
      <c r="A309" s="4"/>
      <c r="B309" s="272"/>
      <c r="C309" s="272"/>
      <c r="D309" s="4"/>
      <c r="E309" s="4"/>
      <c r="F309" s="4"/>
      <c r="G309" s="4"/>
      <c r="H309" s="4"/>
      <c r="I309" s="4"/>
      <c r="J309" s="4"/>
      <c r="K309" s="4"/>
      <c r="L309" s="4"/>
      <c r="M309" s="4"/>
      <c r="N309" s="105"/>
      <c r="O309" s="4"/>
      <c r="P309" s="4"/>
      <c r="Q309" s="4"/>
      <c r="R309" s="4"/>
      <c r="S309" s="4"/>
      <c r="T309" s="105"/>
      <c r="U309" s="4"/>
      <c r="V309" s="4"/>
      <c r="W309" s="4"/>
      <c r="X309" s="4"/>
      <c r="Y309" s="4"/>
      <c r="Z309" s="105"/>
      <c r="AA309" s="4"/>
      <c r="AB309" s="4"/>
      <c r="AC309" s="4"/>
      <c r="AD309" s="4"/>
      <c r="AE309" s="4"/>
      <c r="AF309" s="4"/>
      <c r="AG309" s="4"/>
      <c r="AH309" s="4"/>
      <c r="AI309" s="4"/>
      <c r="AJ309" s="4"/>
      <c r="AK309" s="4"/>
      <c r="AL309" s="4"/>
      <c r="AM309" s="4"/>
      <c r="AN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row>
    <row r="310" spans="1:90" x14ac:dyDescent="0.25">
      <c r="A310" s="595"/>
      <c r="B310" s="595"/>
      <c r="C310" s="595"/>
      <c r="D310" s="595"/>
      <c r="E310" s="595"/>
      <c r="F310" s="595"/>
      <c r="G310" s="595"/>
      <c r="H310" s="595"/>
      <c r="I310" s="281"/>
      <c r="J310" s="281"/>
      <c r="K310" s="281"/>
      <c r="L310" s="281"/>
      <c r="M310" s="281"/>
      <c r="N310" s="282"/>
      <c r="O310" s="281"/>
      <c r="P310" s="281"/>
      <c r="Q310" s="281"/>
      <c r="R310" s="281"/>
      <c r="S310" s="281"/>
      <c r="T310" s="282"/>
      <c r="U310" s="281"/>
      <c r="V310" s="4"/>
      <c r="W310" s="4"/>
      <c r="X310" s="4"/>
      <c r="Y310" s="4"/>
      <c r="Z310" s="105"/>
      <c r="AA310" s="4"/>
      <c r="AB310" s="4"/>
      <c r="AC310" s="4"/>
      <c r="AD310" s="4"/>
      <c r="AE310" s="4"/>
      <c r="AF310" s="4"/>
      <c r="AG310" s="4"/>
      <c r="AH310" s="4"/>
      <c r="AI310" s="4"/>
      <c r="AJ310" s="4"/>
      <c r="AK310" s="4"/>
      <c r="AL310" s="4"/>
      <c r="AM310" s="4"/>
      <c r="AN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row>
    <row r="311" spans="1:90" ht="13.5" x14ac:dyDescent="0.25">
      <c r="A311" s="283"/>
      <c r="B311" s="284"/>
      <c r="C311" s="284"/>
      <c r="D311" s="285"/>
      <c r="E311" s="285"/>
      <c r="F311" s="285"/>
      <c r="G311" s="285"/>
      <c r="H311" s="4"/>
      <c r="I311" s="4"/>
      <c r="J311" s="4"/>
      <c r="K311" s="4"/>
      <c r="L311" s="4"/>
      <c r="M311" s="4"/>
      <c r="N311" s="105"/>
      <c r="O311" s="4"/>
      <c r="P311" s="4"/>
      <c r="Q311" s="4"/>
      <c r="R311" s="4"/>
      <c r="S311" s="4"/>
      <c r="T311" s="105"/>
      <c r="U311" s="4"/>
      <c r="V311" s="285"/>
      <c r="W311" s="285"/>
      <c r="X311" s="285"/>
      <c r="Y311" s="4"/>
      <c r="Z311" s="105"/>
      <c r="AA311" s="4"/>
      <c r="AB311" s="4"/>
      <c r="AC311" s="4"/>
      <c r="AD311" s="4"/>
      <c r="AE311" s="4"/>
      <c r="AF311" s="4"/>
      <c r="AG311" s="285"/>
      <c r="AH311" s="285"/>
      <c r="AI311" s="285"/>
      <c r="AJ311" s="4"/>
      <c r="AK311" s="285"/>
      <c r="AL311" s="285"/>
      <c r="AM311" s="285"/>
      <c r="AN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row>
    <row r="312" spans="1:90" x14ac:dyDescent="0.25">
      <c r="A312" s="286"/>
      <c r="B312" s="287"/>
      <c r="C312" s="287"/>
      <c r="D312" s="288"/>
      <c r="E312" s="288"/>
      <c r="F312" s="288"/>
      <c r="G312" s="288"/>
      <c r="H312" s="4"/>
      <c r="I312" s="4"/>
      <c r="J312" s="4"/>
      <c r="K312" s="4"/>
      <c r="L312" s="4"/>
      <c r="M312" s="4"/>
      <c r="N312" s="105"/>
      <c r="O312" s="4"/>
      <c r="P312" s="4"/>
      <c r="Q312" s="4"/>
      <c r="R312" s="4"/>
      <c r="S312" s="4"/>
      <c r="T312" s="105"/>
      <c r="U312" s="4"/>
      <c r="V312" s="288"/>
      <c r="W312" s="288"/>
      <c r="X312" s="288"/>
      <c r="Y312" s="4"/>
      <c r="Z312" s="105"/>
      <c r="AA312" s="4"/>
      <c r="AB312" s="4"/>
      <c r="AC312" s="4"/>
      <c r="AD312" s="4"/>
      <c r="AE312" s="4"/>
      <c r="AF312" s="4"/>
      <c r="AG312" s="288"/>
      <c r="AH312" s="288"/>
      <c r="AI312" s="288"/>
      <c r="AJ312" s="4"/>
      <c r="AK312" s="288"/>
      <c r="AL312" s="288"/>
      <c r="AM312" s="288"/>
      <c r="AN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row>
    <row r="313" spans="1:90" x14ac:dyDescent="0.25">
      <c r="A313" s="286"/>
      <c r="B313" s="287"/>
      <c r="C313" s="287"/>
      <c r="D313" s="288"/>
      <c r="E313" s="288"/>
      <c r="F313" s="288"/>
      <c r="G313" s="288"/>
      <c r="H313" s="4"/>
      <c r="I313" s="4"/>
      <c r="J313" s="4"/>
      <c r="K313" s="4"/>
      <c r="L313" s="4"/>
      <c r="M313" s="4"/>
      <c r="N313" s="105"/>
      <c r="O313" s="4"/>
      <c r="P313" s="4"/>
      <c r="Q313" s="4"/>
      <c r="R313" s="4"/>
      <c r="S313" s="4"/>
      <c r="T313" s="105"/>
      <c r="U313" s="4"/>
      <c r="V313" s="288"/>
      <c r="W313" s="288"/>
      <c r="X313" s="288"/>
      <c r="Y313" s="4"/>
      <c r="Z313" s="105"/>
      <c r="AA313" s="4"/>
      <c r="AB313" s="4"/>
      <c r="AC313" s="4"/>
      <c r="AD313" s="4"/>
      <c r="AE313" s="4"/>
      <c r="AF313" s="4"/>
      <c r="AG313" s="288"/>
      <c r="AH313" s="288"/>
      <c r="AI313" s="288"/>
      <c r="AJ313" s="4"/>
      <c r="AK313" s="288"/>
      <c r="AL313" s="288"/>
      <c r="AM313" s="288"/>
      <c r="AN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row>
    <row r="314" spans="1:90" x14ac:dyDescent="0.25">
      <c r="A314" s="286"/>
      <c r="B314" s="272"/>
      <c r="C314" s="272"/>
      <c r="D314" s="4"/>
      <c r="E314" s="4"/>
      <c r="F314" s="4"/>
      <c r="G314" s="4"/>
      <c r="H314" s="4"/>
      <c r="I314" s="4"/>
      <c r="J314" s="4"/>
      <c r="K314" s="4"/>
      <c r="L314" s="4"/>
      <c r="M314" s="4"/>
      <c r="N314" s="105"/>
      <c r="O314" s="4"/>
      <c r="P314" s="4"/>
      <c r="Q314" s="4"/>
      <c r="R314" s="4"/>
      <c r="S314" s="4"/>
      <c r="T314" s="105"/>
      <c r="U314" s="4"/>
      <c r="V314" s="4"/>
      <c r="W314" s="4"/>
      <c r="X314" s="4"/>
      <c r="Y314" s="4"/>
      <c r="Z314" s="105"/>
      <c r="AA314" s="4"/>
      <c r="AB314" s="4"/>
      <c r="AC314" s="4"/>
      <c r="AD314" s="4"/>
      <c r="AE314" s="4"/>
      <c r="AF314" s="4"/>
      <c r="AG314" s="4"/>
      <c r="AH314" s="4"/>
      <c r="AI314" s="4"/>
      <c r="AJ314" s="4"/>
      <c r="AK314" s="4"/>
      <c r="AL314" s="4"/>
      <c r="AM314" s="4"/>
      <c r="AN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row>
    <row r="315" spans="1:90" x14ac:dyDescent="0.25">
      <c r="A315" s="286"/>
      <c r="B315" s="272"/>
      <c r="C315" s="272"/>
      <c r="D315" s="4"/>
      <c r="E315" s="4"/>
      <c r="F315" s="4"/>
      <c r="G315" s="4"/>
      <c r="H315" s="4"/>
      <c r="I315" s="4"/>
      <c r="J315" s="4"/>
      <c r="K315" s="4"/>
      <c r="L315" s="4"/>
      <c r="M315" s="4"/>
      <c r="N315" s="105"/>
      <c r="O315" s="4"/>
      <c r="P315" s="4"/>
      <c r="Q315" s="4"/>
      <c r="R315" s="4"/>
      <c r="S315" s="4"/>
      <c r="T315" s="105"/>
      <c r="U315" s="4"/>
      <c r="V315" s="4"/>
      <c r="W315" s="4"/>
      <c r="X315" s="4"/>
      <c r="Y315" s="4"/>
      <c r="Z315" s="105"/>
      <c r="AA315" s="4"/>
      <c r="AB315" s="4"/>
      <c r="AC315" s="4"/>
      <c r="AD315" s="4"/>
      <c r="AE315" s="4"/>
      <c r="AF315" s="4"/>
      <c r="AG315" s="4"/>
      <c r="AH315" s="4"/>
      <c r="AI315" s="4"/>
      <c r="AJ315" s="4"/>
      <c r="AK315" s="4"/>
      <c r="AL315" s="4"/>
      <c r="AM315" s="4"/>
      <c r="AN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row>
    <row r="316" spans="1:90" x14ac:dyDescent="0.25">
      <c r="A316" s="288"/>
      <c r="B316" s="272"/>
      <c r="C316" s="272"/>
      <c r="D316" s="4"/>
      <c r="E316" s="4"/>
      <c r="F316" s="4"/>
      <c r="G316" s="4"/>
      <c r="H316" s="4"/>
      <c r="I316" s="4"/>
      <c r="J316" s="4"/>
      <c r="K316" s="4"/>
      <c r="L316" s="4"/>
      <c r="M316" s="4"/>
      <c r="N316" s="105"/>
      <c r="O316" s="4"/>
      <c r="P316" s="4"/>
      <c r="Q316" s="4"/>
      <c r="R316" s="4"/>
      <c r="S316" s="4"/>
      <c r="T316" s="105"/>
      <c r="U316" s="4"/>
      <c r="V316" s="4"/>
      <c r="W316" s="4"/>
      <c r="X316" s="4"/>
      <c r="Y316" s="4"/>
      <c r="Z316" s="105"/>
      <c r="AA316" s="4"/>
      <c r="AB316" s="4"/>
      <c r="AC316" s="4"/>
      <c r="AD316" s="4"/>
      <c r="AE316" s="4"/>
      <c r="AF316" s="4"/>
      <c r="AG316" s="4"/>
      <c r="AH316" s="4"/>
      <c r="AI316" s="4"/>
      <c r="AJ316" s="4"/>
      <c r="AK316" s="4"/>
      <c r="AL316" s="4"/>
      <c r="AM316" s="4"/>
      <c r="AN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row>
    <row r="317" spans="1:90" x14ac:dyDescent="0.25">
      <c r="A317" s="288"/>
      <c r="B317" s="272"/>
      <c r="C317" s="272"/>
      <c r="D317" s="4"/>
      <c r="E317" s="4"/>
      <c r="F317" s="4"/>
      <c r="G317" s="4"/>
      <c r="H317" s="4"/>
      <c r="I317" s="4"/>
      <c r="J317" s="4"/>
      <c r="K317" s="4"/>
      <c r="L317" s="4"/>
      <c r="M317" s="4"/>
      <c r="N317" s="105"/>
      <c r="O317" s="4"/>
      <c r="P317" s="4"/>
      <c r="Q317" s="4"/>
      <c r="R317" s="4"/>
      <c r="S317" s="4"/>
      <c r="T317" s="105"/>
      <c r="U317" s="4"/>
      <c r="V317" s="4"/>
      <c r="W317" s="4"/>
      <c r="X317" s="4"/>
      <c r="Y317" s="4"/>
      <c r="Z317" s="105"/>
      <c r="AA317" s="4"/>
      <c r="AB317" s="4"/>
      <c r="AC317" s="4"/>
      <c r="AD317" s="4"/>
      <c r="AE317" s="4"/>
      <c r="AF317" s="4"/>
      <c r="AG317" s="4"/>
      <c r="AH317" s="4"/>
      <c r="AI317" s="4"/>
      <c r="AJ317" s="4"/>
      <c r="AK317" s="4"/>
      <c r="AL317" s="4"/>
      <c r="AM317" s="4"/>
      <c r="AN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row>
    <row r="318" spans="1:90" x14ac:dyDescent="0.25">
      <c r="A318" s="4"/>
      <c r="B318" s="272"/>
      <c r="C318" s="272"/>
      <c r="D318" s="4"/>
      <c r="E318" s="4"/>
      <c r="F318" s="4"/>
      <c r="G318" s="4"/>
      <c r="H318" s="4"/>
      <c r="I318" s="4"/>
      <c r="J318" s="4"/>
      <c r="K318" s="4"/>
      <c r="L318" s="4"/>
      <c r="M318" s="4"/>
      <c r="N318" s="105"/>
      <c r="O318" s="4"/>
      <c r="P318" s="4"/>
      <c r="Q318" s="4"/>
      <c r="R318" s="4"/>
      <c r="S318" s="4"/>
      <c r="T318" s="105"/>
      <c r="U318" s="4"/>
      <c r="V318" s="4"/>
      <c r="W318" s="4"/>
      <c r="X318" s="4"/>
      <c r="Y318" s="4"/>
      <c r="Z318" s="105"/>
      <c r="AA318" s="4"/>
      <c r="AB318" s="4"/>
      <c r="AC318" s="4"/>
      <c r="AD318" s="4"/>
      <c r="AE318" s="4"/>
      <c r="AF318" s="4"/>
      <c r="AG318" s="4"/>
      <c r="AH318" s="4"/>
      <c r="AI318" s="4"/>
      <c r="AJ318" s="4"/>
      <c r="AK318" s="4"/>
      <c r="AL318" s="4"/>
      <c r="AM318" s="4"/>
      <c r="AN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row>
    <row r="319" spans="1:90" x14ac:dyDescent="0.25">
      <c r="A319" s="4"/>
      <c r="B319" s="272"/>
      <c r="C319" s="272"/>
      <c r="D319" s="4"/>
      <c r="E319" s="4"/>
      <c r="F319" s="4"/>
      <c r="G319" s="4"/>
      <c r="H319" s="4"/>
      <c r="I319" s="4"/>
      <c r="J319" s="4"/>
      <c r="K319" s="4"/>
      <c r="L319" s="4"/>
      <c r="M319" s="4"/>
      <c r="N319" s="105"/>
      <c r="O319" s="4"/>
      <c r="P319" s="4"/>
      <c r="Q319" s="4"/>
      <c r="R319" s="4"/>
      <c r="S319" s="4"/>
      <c r="T319" s="105"/>
      <c r="U319" s="4"/>
      <c r="V319" s="4"/>
      <c r="W319" s="4"/>
      <c r="X319" s="4"/>
      <c r="Y319" s="4"/>
      <c r="Z319" s="105"/>
      <c r="AA319" s="4"/>
      <c r="AB319" s="4"/>
      <c r="AC319" s="4"/>
      <c r="AD319" s="4"/>
      <c r="AE319" s="4"/>
      <c r="AF319" s="4"/>
      <c r="AG319" s="4"/>
      <c r="AH319" s="4"/>
      <c r="AI319" s="4"/>
      <c r="AJ319" s="4"/>
      <c r="AK319" s="4"/>
      <c r="AL319" s="4"/>
      <c r="AM319" s="4"/>
      <c r="AN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row>
    <row r="320" spans="1:90" x14ac:dyDescent="0.25">
      <c r="A320" s="4"/>
      <c r="B320" s="272"/>
      <c r="C320" s="272"/>
      <c r="D320" s="4"/>
      <c r="E320" s="4"/>
      <c r="F320" s="4"/>
      <c r="G320" s="4"/>
      <c r="H320" s="4"/>
      <c r="I320" s="4"/>
      <c r="J320" s="4"/>
      <c r="K320" s="4"/>
      <c r="L320" s="4"/>
      <c r="M320" s="4"/>
      <c r="N320" s="105"/>
      <c r="O320" s="4"/>
      <c r="P320" s="4"/>
      <c r="Q320" s="4"/>
      <c r="R320" s="4"/>
      <c r="S320" s="4"/>
      <c r="T320" s="105"/>
      <c r="U320" s="4"/>
      <c r="V320" s="4"/>
      <c r="W320" s="4"/>
      <c r="X320" s="4"/>
      <c r="Y320" s="4"/>
      <c r="Z320" s="105"/>
      <c r="AA320" s="4"/>
      <c r="AB320" s="4"/>
      <c r="AC320" s="4"/>
      <c r="AD320" s="4"/>
      <c r="AE320" s="4"/>
      <c r="AF320" s="4"/>
      <c r="AG320" s="4"/>
      <c r="AH320" s="4"/>
      <c r="AI320" s="4"/>
      <c r="AJ320" s="4"/>
      <c r="AK320" s="4"/>
      <c r="AL320" s="4"/>
      <c r="AM320" s="4"/>
      <c r="AN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row>
    <row r="321" spans="1:90" x14ac:dyDescent="0.25">
      <c r="A321" s="4"/>
      <c r="B321" s="272"/>
      <c r="C321" s="272"/>
      <c r="D321" s="4"/>
      <c r="E321" s="4"/>
      <c r="F321" s="4"/>
      <c r="G321" s="4"/>
      <c r="H321" s="4"/>
      <c r="I321" s="4"/>
      <c r="J321" s="4"/>
      <c r="K321" s="4"/>
      <c r="L321" s="4"/>
      <c r="M321" s="4"/>
      <c r="N321" s="105"/>
      <c r="O321" s="4"/>
      <c r="P321" s="4"/>
      <c r="Q321" s="4"/>
      <c r="R321" s="4"/>
      <c r="S321" s="4"/>
      <c r="T321" s="105"/>
      <c r="U321" s="4"/>
      <c r="V321" s="4"/>
      <c r="W321" s="4"/>
      <c r="X321" s="4"/>
      <c r="Y321" s="4"/>
      <c r="Z321" s="105"/>
      <c r="AA321" s="4"/>
      <c r="AB321" s="4"/>
      <c r="AC321" s="4"/>
      <c r="AD321" s="4"/>
      <c r="AE321" s="4"/>
      <c r="AF321" s="4"/>
      <c r="AG321" s="4"/>
      <c r="AH321" s="4"/>
      <c r="AI321" s="4"/>
      <c r="AJ321" s="4"/>
      <c r="AK321" s="4"/>
      <c r="AL321" s="4"/>
      <c r="AM321" s="4"/>
      <c r="AN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row>
    <row r="322" spans="1:90" x14ac:dyDescent="0.25">
      <c r="A322" s="4"/>
      <c r="B322" s="272"/>
      <c r="C322" s="272"/>
      <c r="D322" s="4"/>
      <c r="E322" s="4"/>
      <c r="F322" s="4"/>
      <c r="G322" s="4"/>
      <c r="H322" s="4"/>
      <c r="I322" s="4"/>
      <c r="J322" s="4"/>
      <c r="K322" s="4"/>
      <c r="L322" s="4"/>
      <c r="M322" s="4"/>
      <c r="N322" s="105"/>
      <c r="O322" s="4"/>
      <c r="P322" s="4"/>
      <c r="Q322" s="4"/>
      <c r="R322" s="4"/>
      <c r="S322" s="4"/>
      <c r="T322" s="105"/>
      <c r="U322" s="4"/>
      <c r="V322" s="4"/>
      <c r="W322" s="4"/>
      <c r="X322" s="4"/>
      <c r="Y322" s="4"/>
      <c r="Z322" s="105"/>
      <c r="AA322" s="4"/>
      <c r="AB322" s="4"/>
      <c r="AC322" s="4"/>
      <c r="AD322" s="4"/>
      <c r="AE322" s="4"/>
      <c r="AF322" s="4"/>
      <c r="AG322" s="4"/>
      <c r="AH322" s="4"/>
      <c r="AI322" s="4"/>
      <c r="AJ322" s="4"/>
      <c r="AK322" s="4"/>
      <c r="AL322" s="4"/>
      <c r="AM322" s="4"/>
      <c r="AN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row>
    <row r="323" spans="1:90" x14ac:dyDescent="0.25">
      <c r="A323" s="4"/>
      <c r="B323" s="272"/>
      <c r="C323" s="272"/>
      <c r="D323" s="4"/>
      <c r="E323" s="4"/>
      <c r="F323" s="4"/>
      <c r="G323" s="4"/>
      <c r="H323" s="4"/>
      <c r="I323" s="4"/>
      <c r="J323" s="4"/>
      <c r="K323" s="4"/>
      <c r="L323" s="4"/>
      <c r="M323" s="4"/>
      <c r="N323" s="105"/>
      <c r="O323" s="4"/>
      <c r="P323" s="4"/>
      <c r="Q323" s="4"/>
      <c r="R323" s="4"/>
      <c r="S323" s="4"/>
      <c r="T323" s="105"/>
      <c r="U323" s="4"/>
      <c r="V323" s="4"/>
      <c r="W323" s="4"/>
      <c r="X323" s="4"/>
      <c r="Y323" s="4"/>
      <c r="Z323" s="105"/>
      <c r="AA323" s="4"/>
      <c r="AB323" s="4"/>
      <c r="AC323" s="4"/>
      <c r="AD323" s="4"/>
      <c r="AE323" s="4"/>
      <c r="AF323" s="4"/>
      <c r="AG323" s="4"/>
      <c r="AH323" s="4"/>
      <c r="AI323" s="4"/>
      <c r="AJ323" s="4"/>
      <c r="AK323" s="4"/>
      <c r="AL323" s="4"/>
      <c r="AM323" s="4"/>
      <c r="AN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row>
    <row r="324" spans="1:90" x14ac:dyDescent="0.25">
      <c r="A324" s="4"/>
      <c r="B324" s="272"/>
      <c r="C324" s="272"/>
      <c r="D324" s="4"/>
      <c r="E324" s="4"/>
      <c r="F324" s="4"/>
      <c r="G324" s="4"/>
      <c r="H324" s="4"/>
      <c r="I324" s="4"/>
      <c r="J324" s="4"/>
      <c r="K324" s="4"/>
      <c r="L324" s="4"/>
      <c r="M324" s="4"/>
      <c r="N324" s="105"/>
      <c r="O324" s="4"/>
      <c r="P324" s="4"/>
      <c r="Q324" s="4"/>
      <c r="R324" s="4"/>
      <c r="S324" s="4"/>
      <c r="T324" s="105"/>
      <c r="U324" s="4"/>
      <c r="V324" s="4"/>
      <c r="W324" s="4"/>
      <c r="X324" s="4"/>
      <c r="Y324" s="4"/>
      <c r="Z324" s="105"/>
      <c r="AA324" s="4"/>
      <c r="AB324" s="4"/>
      <c r="AC324" s="4"/>
      <c r="AD324" s="4"/>
      <c r="AE324" s="4"/>
      <c r="AF324" s="4"/>
      <c r="AG324" s="4"/>
      <c r="AH324" s="4"/>
      <c r="AI324" s="4"/>
      <c r="AJ324" s="4"/>
      <c r="AK324" s="4"/>
      <c r="AL324" s="4"/>
      <c r="AM324" s="4"/>
      <c r="AN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row>
    <row r="325" spans="1:90" x14ac:dyDescent="0.25">
      <c r="A325" s="4"/>
      <c r="B325" s="272"/>
      <c r="C325" s="272"/>
      <c r="D325" s="4"/>
      <c r="E325" s="4"/>
      <c r="F325" s="4"/>
      <c r="G325" s="4"/>
      <c r="H325" s="4"/>
      <c r="I325" s="4"/>
      <c r="J325" s="4"/>
      <c r="K325" s="4"/>
      <c r="L325" s="4"/>
      <c r="M325" s="4"/>
      <c r="N325" s="105"/>
      <c r="O325" s="4"/>
      <c r="P325" s="4"/>
      <c r="Q325" s="4"/>
      <c r="R325" s="4"/>
      <c r="S325" s="4"/>
      <c r="T325" s="105"/>
      <c r="U325" s="4"/>
      <c r="V325" s="4"/>
      <c r="W325" s="4"/>
      <c r="X325" s="4"/>
      <c r="Y325" s="4"/>
      <c r="Z325" s="105"/>
      <c r="AA325" s="4"/>
      <c r="AB325" s="4"/>
      <c r="AC325" s="4"/>
      <c r="AD325" s="4"/>
      <c r="AE325" s="4"/>
      <c r="AF325" s="4"/>
      <c r="AG325" s="4"/>
      <c r="AH325" s="4"/>
      <c r="AI325" s="4"/>
      <c r="AJ325" s="4"/>
      <c r="AK325" s="4"/>
      <c r="AL325" s="4"/>
      <c r="AM325" s="4"/>
      <c r="AN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row>
  </sheetData>
  <mergeCells count="23">
    <mergeCell ref="A310:H310"/>
    <mergeCell ref="AP28:AP31"/>
    <mergeCell ref="AP74:AP75"/>
    <mergeCell ref="AP94:AP95"/>
    <mergeCell ref="AO121:AO125"/>
    <mergeCell ref="AP121:AP122"/>
    <mergeCell ref="AF5:AJ5"/>
    <mergeCell ref="AK5:AN5"/>
    <mergeCell ref="AO5:AO6"/>
    <mergeCell ref="AP5:AP6"/>
    <mergeCell ref="AR5:AV5"/>
    <mergeCell ref="D5:H5"/>
    <mergeCell ref="I5:M5"/>
    <mergeCell ref="O5:R5"/>
    <mergeCell ref="U5:Y5"/>
    <mergeCell ref="AA5:AE5"/>
    <mergeCell ref="A1:C1"/>
    <mergeCell ref="A2:C2"/>
    <mergeCell ref="A3:B3"/>
    <mergeCell ref="A4:B4"/>
    <mergeCell ref="A5:A6"/>
    <mergeCell ref="B5:B6"/>
    <mergeCell ref="C5:C6"/>
  </mergeCells>
  <pageMargins left="0.70833333333333304" right="0.70833333333333304" top="0.74791666666666701" bottom="0.74791666666666701" header="0.511811023622047" footer="0.511811023622047"/>
  <pageSetup paperSize="9" scale="75" orientation="landscape"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6"/>
  <sheetViews>
    <sheetView topLeftCell="A7" zoomScaleNormal="100" workbookViewId="0">
      <selection activeCell="M14" sqref="M14"/>
    </sheetView>
  </sheetViews>
  <sheetFormatPr defaultColWidth="8.7109375" defaultRowHeight="15" x14ac:dyDescent="0.25"/>
  <cols>
    <col min="2" max="2" width="10.7109375" customWidth="1"/>
    <col min="3" max="3" width="12.7109375" customWidth="1"/>
    <col min="4" max="4" width="13.28515625" customWidth="1"/>
    <col min="5" max="5" width="2.7109375" customWidth="1"/>
    <col min="6" max="6" width="13.28515625" customWidth="1"/>
    <col min="7" max="7" width="2.42578125" customWidth="1"/>
    <col min="8" max="8" width="12.28515625" style="289" customWidth="1"/>
    <col min="9" max="9" width="2.85546875" customWidth="1"/>
    <col min="10" max="10" width="11" style="289" customWidth="1"/>
    <col min="11" max="11" width="12.7109375" customWidth="1"/>
    <col min="12" max="12" width="13.5703125" customWidth="1"/>
    <col min="13" max="13" width="23.28515625" customWidth="1"/>
  </cols>
  <sheetData>
    <row r="1" spans="1:11" ht="34.5" customHeight="1" x14ac:dyDescent="0.25">
      <c r="A1" s="598" t="s">
        <v>309</v>
      </c>
      <c r="B1" s="598"/>
      <c r="C1" s="598"/>
      <c r="D1" s="598"/>
      <c r="E1" s="598"/>
      <c r="F1" s="598"/>
      <c r="G1" s="598"/>
      <c r="H1" s="598"/>
      <c r="I1" s="598"/>
      <c r="J1" s="598"/>
      <c r="K1" s="598"/>
    </row>
    <row r="2" spans="1:11" x14ac:dyDescent="0.25">
      <c r="A2" s="599" t="s">
        <v>310</v>
      </c>
      <c r="B2" s="599"/>
      <c r="C2" s="599"/>
      <c r="D2" s="599"/>
      <c r="E2" s="599"/>
      <c r="F2" s="599"/>
      <c r="G2" s="599"/>
      <c r="H2" s="599"/>
      <c r="I2" s="599"/>
      <c r="J2" s="599"/>
      <c r="K2" s="599"/>
    </row>
    <row r="3" spans="1:11" x14ac:dyDescent="0.25">
      <c r="A3" s="600" t="s">
        <v>311</v>
      </c>
      <c r="B3" s="600"/>
      <c r="C3" s="600"/>
      <c r="D3" s="600"/>
      <c r="E3" s="600"/>
      <c r="F3" s="600"/>
      <c r="G3" s="600"/>
      <c r="H3" s="600"/>
      <c r="I3" s="600"/>
      <c r="J3" s="600"/>
      <c r="K3" s="600"/>
    </row>
    <row r="4" spans="1:11" x14ac:dyDescent="0.25">
      <c r="A4" s="601" t="s">
        <v>312</v>
      </c>
      <c r="B4" s="601"/>
      <c r="C4" s="290" t="s">
        <v>313</v>
      </c>
      <c r="D4" s="290"/>
      <c r="E4" s="290"/>
      <c r="F4" s="290"/>
      <c r="G4" s="290"/>
      <c r="H4" s="291"/>
      <c r="I4" s="290"/>
      <c r="J4" s="291"/>
      <c r="K4" s="290"/>
    </row>
    <row r="5" spans="1:11" x14ac:dyDescent="0.25">
      <c r="A5" s="601" t="s">
        <v>314</v>
      </c>
      <c r="B5" s="601"/>
      <c r="C5" s="602" t="s">
        <v>315</v>
      </c>
      <c r="D5" s="602"/>
      <c r="E5" s="602"/>
      <c r="F5" s="602"/>
      <c r="G5" s="602"/>
      <c r="H5" s="293"/>
      <c r="I5" s="292"/>
      <c r="J5" s="293"/>
      <c r="K5" s="292"/>
    </row>
    <row r="6" spans="1:11" x14ac:dyDescent="0.25">
      <c r="A6" s="294" t="s">
        <v>316</v>
      </c>
      <c r="B6" s="294"/>
      <c r="C6" s="294"/>
      <c r="D6" s="294"/>
      <c r="E6" s="294"/>
      <c r="F6" s="294"/>
      <c r="G6" s="294"/>
      <c r="H6" s="295"/>
      <c r="I6" s="294"/>
      <c r="J6" s="295"/>
      <c r="K6" s="294"/>
    </row>
    <row r="7" spans="1:11" ht="32.25" customHeight="1" x14ac:dyDescent="0.25">
      <c r="A7" s="603" t="s">
        <v>317</v>
      </c>
      <c r="B7" s="603"/>
      <c r="C7" s="296">
        <v>2917500</v>
      </c>
      <c r="D7" s="297"/>
      <c r="E7" s="297"/>
      <c r="F7" s="297"/>
      <c r="G7" s="297"/>
      <c r="H7" s="298"/>
      <c r="I7" s="297"/>
      <c r="J7" s="298"/>
      <c r="K7" s="299" t="s">
        <v>318</v>
      </c>
    </row>
    <row r="8" spans="1:11" ht="24.75" customHeight="1" x14ac:dyDescent="0.25">
      <c r="A8" s="604" t="s">
        <v>319</v>
      </c>
      <c r="B8" s="604"/>
      <c r="C8" s="300">
        <v>2675000</v>
      </c>
      <c r="D8" s="301"/>
      <c r="E8" s="301"/>
      <c r="F8" s="301"/>
      <c r="G8" s="301"/>
      <c r="H8" s="302"/>
      <c r="I8" s="301"/>
      <c r="J8" s="302"/>
      <c r="K8" s="303"/>
    </row>
    <row r="9" spans="1:11" ht="27.75" customHeight="1" x14ac:dyDescent="0.25">
      <c r="A9" s="603" t="s">
        <v>320</v>
      </c>
      <c r="B9" s="603"/>
      <c r="C9" s="304">
        <v>0</v>
      </c>
      <c r="D9" s="305"/>
      <c r="E9" s="305"/>
      <c r="F9" s="305"/>
      <c r="G9" s="305"/>
      <c r="H9" s="306"/>
      <c r="I9" s="305"/>
      <c r="J9" s="306"/>
      <c r="K9" s="307"/>
    </row>
    <row r="10" spans="1:11" ht="57.75" customHeight="1" x14ac:dyDescent="0.25">
      <c r="A10" s="605" t="s">
        <v>321</v>
      </c>
      <c r="B10" s="605"/>
      <c r="C10" s="308">
        <v>0</v>
      </c>
      <c r="D10" s="309"/>
      <c r="E10" s="309"/>
      <c r="F10" s="309"/>
      <c r="G10" s="309"/>
      <c r="H10" s="310"/>
      <c r="I10" s="305"/>
      <c r="J10" s="306"/>
      <c r="K10" s="311">
        <f>C8+C9</f>
        <v>2675000</v>
      </c>
    </row>
    <row r="11" spans="1:11" ht="14.25" customHeight="1" x14ac:dyDescent="0.25">
      <c r="A11" s="606"/>
      <c r="B11" s="606"/>
      <c r="C11" s="312"/>
      <c r="D11" s="313" t="s">
        <v>322</v>
      </c>
      <c r="E11" s="313"/>
      <c r="F11" s="313" t="s">
        <v>323</v>
      </c>
      <c r="G11" s="314"/>
      <c r="H11" s="315" t="s">
        <v>324</v>
      </c>
      <c r="I11" s="314"/>
      <c r="J11" s="316" t="s">
        <v>325</v>
      </c>
      <c r="K11" s="317"/>
    </row>
    <row r="12" spans="1:11" ht="30.75" customHeight="1" x14ac:dyDescent="0.25">
      <c r="A12" s="603" t="s">
        <v>326</v>
      </c>
      <c r="B12" s="603"/>
      <c r="C12" s="318" t="s">
        <v>327</v>
      </c>
      <c r="D12" s="319">
        <v>67601.600000000006</v>
      </c>
      <c r="E12" s="319"/>
      <c r="F12" s="319">
        <f>D22</f>
        <v>111252.21999999997</v>
      </c>
      <c r="G12" s="320"/>
      <c r="H12" s="319">
        <f>F22</f>
        <v>70766.319999999949</v>
      </c>
      <c r="I12" s="320"/>
      <c r="J12" s="319">
        <f>H22</f>
        <v>21424.199999999953</v>
      </c>
      <c r="K12" s="321">
        <f>C9</f>
        <v>0</v>
      </c>
    </row>
    <row r="13" spans="1:11" x14ac:dyDescent="0.25">
      <c r="A13" s="607"/>
      <c r="B13" s="607"/>
      <c r="C13" s="318"/>
      <c r="D13" s="320"/>
      <c r="E13" s="320"/>
      <c r="F13" s="320"/>
      <c r="G13" s="320"/>
      <c r="H13" s="320"/>
      <c r="I13" s="320"/>
      <c r="J13" s="320"/>
      <c r="K13" s="322"/>
    </row>
    <row r="14" spans="1:11" x14ac:dyDescent="0.25">
      <c r="A14" s="608" t="s">
        <v>328</v>
      </c>
      <c r="B14" s="608"/>
      <c r="C14" s="318" t="s">
        <v>327</v>
      </c>
      <c r="D14" s="324">
        <v>577475</v>
      </c>
      <c r="E14" s="324"/>
      <c r="F14" s="324">
        <v>720885</v>
      </c>
      <c r="G14" s="320"/>
      <c r="H14" s="324">
        <v>526803</v>
      </c>
      <c r="I14" s="320"/>
      <c r="J14" s="324"/>
      <c r="K14" s="325">
        <f t="shared" ref="K14:K20" si="0">SUM(D14+F14+H14+J14)</f>
        <v>1825163</v>
      </c>
    </row>
    <row r="15" spans="1:11" x14ac:dyDescent="0.25">
      <c r="A15" s="607"/>
      <c r="B15" s="607"/>
      <c r="C15" s="318"/>
      <c r="D15" s="320"/>
      <c r="E15" s="320"/>
      <c r="F15" s="320"/>
      <c r="G15" s="320"/>
      <c r="H15" s="320"/>
      <c r="I15" s="320"/>
      <c r="J15" s="320"/>
      <c r="K15" s="325">
        <f t="shared" si="0"/>
        <v>0</v>
      </c>
    </row>
    <row r="16" spans="1:11" x14ac:dyDescent="0.25">
      <c r="A16" s="323" t="s">
        <v>329</v>
      </c>
      <c r="B16" s="326"/>
      <c r="C16" s="318" t="s">
        <v>327</v>
      </c>
      <c r="D16" s="327">
        <v>2150</v>
      </c>
      <c r="E16" s="327"/>
      <c r="F16" s="327">
        <v>2994</v>
      </c>
      <c r="G16" s="320"/>
      <c r="H16" s="327">
        <v>2912</v>
      </c>
      <c r="I16" s="320"/>
      <c r="J16" s="327"/>
      <c r="K16" s="325">
        <f t="shared" si="0"/>
        <v>8056</v>
      </c>
    </row>
    <row r="17" spans="1:13" x14ac:dyDescent="0.25">
      <c r="A17" s="607"/>
      <c r="B17" s="607"/>
      <c r="C17" s="318"/>
      <c r="D17" s="320"/>
      <c r="E17" s="320"/>
      <c r="F17" s="320"/>
      <c r="G17" s="320"/>
      <c r="H17" s="320"/>
      <c r="I17" s="320"/>
      <c r="J17" s="320"/>
      <c r="K17" s="325">
        <f t="shared" si="0"/>
        <v>0</v>
      </c>
    </row>
    <row r="18" spans="1:13" s="565" customFormat="1" x14ac:dyDescent="0.25">
      <c r="A18" s="608" t="s">
        <v>330</v>
      </c>
      <c r="B18" s="608"/>
      <c r="C18" s="328" t="s">
        <v>327</v>
      </c>
      <c r="D18" s="329">
        <f>SUM(D12+D14+D16)</f>
        <v>647226.6</v>
      </c>
      <c r="E18" s="329"/>
      <c r="F18" s="329">
        <f>SUM(F12+F14+F16)</f>
        <v>835131.22</v>
      </c>
      <c r="G18" s="310"/>
      <c r="H18" s="329">
        <f>SUM(H12+H14+H16)</f>
        <v>600481.31999999995</v>
      </c>
      <c r="I18" s="310"/>
      <c r="J18" s="329"/>
      <c r="K18" s="566">
        <f>D12+K14+K16</f>
        <v>1900820.6</v>
      </c>
      <c r="L18" s="567"/>
      <c r="M18" s="461"/>
    </row>
    <row r="19" spans="1:13" x14ac:dyDescent="0.25">
      <c r="A19" s="607"/>
      <c r="B19" s="607"/>
      <c r="C19" s="318"/>
      <c r="D19" s="320"/>
      <c r="E19" s="320"/>
      <c r="F19" s="320"/>
      <c r="G19" s="320"/>
      <c r="H19" s="320"/>
      <c r="I19" s="320"/>
      <c r="J19" s="320"/>
      <c r="K19" s="325">
        <f t="shared" si="0"/>
        <v>0</v>
      </c>
    </row>
    <row r="20" spans="1:13" x14ac:dyDescent="0.25">
      <c r="A20" s="608" t="s">
        <v>331</v>
      </c>
      <c r="B20" s="608"/>
      <c r="C20" s="318" t="s">
        <v>327</v>
      </c>
      <c r="D20" s="330">
        <v>535974.38</v>
      </c>
      <c r="E20" s="330"/>
      <c r="F20" s="330">
        <v>764364.9</v>
      </c>
      <c r="G20" s="320"/>
      <c r="H20" s="330">
        <v>579057.12</v>
      </c>
      <c r="I20" s="320"/>
      <c r="J20" s="330"/>
      <c r="K20" s="325">
        <f t="shared" si="0"/>
        <v>1879396.4</v>
      </c>
    </row>
    <row r="21" spans="1:13" x14ac:dyDescent="0.25">
      <c r="A21" s="607"/>
      <c r="B21" s="607"/>
      <c r="C21" s="318"/>
      <c r="D21" s="320"/>
      <c r="E21" s="320"/>
      <c r="F21" s="320"/>
      <c r="G21" s="320"/>
      <c r="H21" s="320"/>
      <c r="I21" s="320"/>
      <c r="J21" s="320"/>
      <c r="K21" s="322"/>
    </row>
    <row r="22" spans="1:13" s="565" customFormat="1" ht="33" customHeight="1" x14ac:dyDescent="0.25">
      <c r="A22" s="609" t="s">
        <v>332</v>
      </c>
      <c r="B22" s="609"/>
      <c r="C22" s="331" t="s">
        <v>327</v>
      </c>
      <c r="D22" s="332">
        <f>D18-D20</f>
        <v>111252.21999999997</v>
      </c>
      <c r="E22" s="332"/>
      <c r="F22" s="332">
        <f>F18-F20</f>
        <v>70766.319999999949</v>
      </c>
      <c r="G22" s="333"/>
      <c r="H22" s="332">
        <f>H18-H20</f>
        <v>21424.199999999953</v>
      </c>
      <c r="I22" s="333"/>
      <c r="J22" s="332">
        <f>J18-J20</f>
        <v>0</v>
      </c>
      <c r="K22" s="564">
        <f>K18-K20</f>
        <v>21424.200000000186</v>
      </c>
      <c r="L22" s="567"/>
      <c r="M22" s="461"/>
    </row>
    <row r="25" spans="1:13" x14ac:dyDescent="0.25">
      <c r="F25" s="334"/>
      <c r="K25" s="334"/>
    </row>
    <row r="26" spans="1:13" x14ac:dyDescent="0.25">
      <c r="D26" s="553"/>
    </row>
  </sheetData>
  <mergeCells count="21">
    <mergeCell ref="A18:B18"/>
    <mergeCell ref="A19:B19"/>
    <mergeCell ref="A20:B20"/>
    <mergeCell ref="A21:B21"/>
    <mergeCell ref="A22:B22"/>
    <mergeCell ref="A12:B12"/>
    <mergeCell ref="A13:B13"/>
    <mergeCell ref="A14:B14"/>
    <mergeCell ref="A15:B15"/>
    <mergeCell ref="A17:B17"/>
    <mergeCell ref="A7:B7"/>
    <mergeCell ref="A8:B8"/>
    <mergeCell ref="A9:B9"/>
    <mergeCell ref="A10:B10"/>
    <mergeCell ref="A11:B11"/>
    <mergeCell ref="A1:K1"/>
    <mergeCell ref="A2:K2"/>
    <mergeCell ref="A3:K3"/>
    <mergeCell ref="A4:B4"/>
    <mergeCell ref="A5:B5"/>
    <mergeCell ref="C5:G5"/>
  </mergeCells>
  <pageMargins left="0.25" right="0.25"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8"/>
  <sheetViews>
    <sheetView zoomScaleNormal="100" workbookViewId="0">
      <pane xSplit="2" ySplit="5" topLeftCell="C141" activePane="bottomRight" state="frozen"/>
      <selection pane="topRight" activeCell="C1" sqref="C1"/>
      <selection pane="bottomLeft" activeCell="A23" sqref="A23"/>
      <selection pane="bottomRight" activeCell="D153" sqref="D153"/>
    </sheetView>
  </sheetViews>
  <sheetFormatPr defaultColWidth="8.7109375" defaultRowHeight="15" x14ac:dyDescent="0.25"/>
  <cols>
    <col min="1" max="1" width="4.85546875" customWidth="1"/>
    <col min="2" max="2" width="45.5703125" customWidth="1"/>
    <col min="3" max="3" width="12" customWidth="1"/>
    <col min="4" max="4" width="13.5703125" customWidth="1"/>
    <col min="5" max="5" width="10.7109375" customWidth="1"/>
    <col min="6" max="6" width="11" customWidth="1"/>
    <col min="7" max="7" width="9.28515625" customWidth="1"/>
    <col min="8" max="8" width="14" customWidth="1"/>
    <col min="9" max="9" width="9.7109375" customWidth="1"/>
    <col min="10" max="10" width="13.42578125" customWidth="1"/>
    <col min="11" max="11" width="9.5703125" customWidth="1"/>
    <col min="12" max="12" width="19.42578125" customWidth="1"/>
  </cols>
  <sheetData>
    <row r="1" spans="1:12" x14ac:dyDescent="0.25">
      <c r="B1" s="581" t="s">
        <v>0</v>
      </c>
      <c r="C1" s="581"/>
      <c r="D1" s="581"/>
    </row>
    <row r="2" spans="1:12" ht="15" customHeight="1" x14ac:dyDescent="0.25">
      <c r="A2" s="610" t="s">
        <v>309</v>
      </c>
      <c r="B2" s="610"/>
      <c r="C2" s="610"/>
      <c r="D2" s="610"/>
      <c r="E2" s="610"/>
      <c r="F2" s="610"/>
      <c r="G2" s="610"/>
      <c r="H2" s="610"/>
      <c r="I2" s="610"/>
      <c r="J2" s="610"/>
      <c r="K2" s="610"/>
      <c r="L2" s="610"/>
    </row>
    <row r="3" spans="1:12" x14ac:dyDescent="0.25">
      <c r="A3" s="611" t="s">
        <v>333</v>
      </c>
      <c r="B3" s="611"/>
      <c r="C3" s="611"/>
      <c r="D3" s="611"/>
      <c r="E3" s="611"/>
      <c r="F3" s="611"/>
      <c r="G3" s="611"/>
      <c r="H3" s="611"/>
      <c r="I3" s="611"/>
      <c r="J3" s="611"/>
      <c r="K3" s="611"/>
      <c r="L3" s="611"/>
    </row>
    <row r="4" spans="1:12" ht="15" customHeight="1" x14ac:dyDescent="0.25">
      <c r="A4" s="612" t="s">
        <v>6</v>
      </c>
      <c r="B4" s="612" t="s">
        <v>334</v>
      </c>
      <c r="C4" s="335" t="s">
        <v>335</v>
      </c>
      <c r="D4" s="613" t="s">
        <v>336</v>
      </c>
      <c r="E4" s="614" t="s">
        <v>337</v>
      </c>
      <c r="F4" s="614" t="s">
        <v>338</v>
      </c>
      <c r="G4" s="614" t="s">
        <v>339</v>
      </c>
      <c r="H4" s="614" t="s">
        <v>340</v>
      </c>
      <c r="I4" s="615" t="s">
        <v>341</v>
      </c>
      <c r="J4" s="614" t="s">
        <v>342</v>
      </c>
      <c r="K4" s="615" t="s">
        <v>343</v>
      </c>
      <c r="L4" s="616" t="s">
        <v>344</v>
      </c>
    </row>
    <row r="5" spans="1:12" ht="27" customHeight="1" x14ac:dyDescent="0.25">
      <c r="A5" s="612"/>
      <c r="B5" s="612"/>
      <c r="C5" s="336" t="s">
        <v>345</v>
      </c>
      <c r="D5" s="613"/>
      <c r="E5" s="614"/>
      <c r="F5" s="614"/>
      <c r="G5" s="614"/>
      <c r="H5" s="614"/>
      <c r="I5" s="615"/>
      <c r="J5" s="614"/>
      <c r="K5" s="615"/>
      <c r="L5" s="616"/>
    </row>
    <row r="6" spans="1:12" x14ac:dyDescent="0.25">
      <c r="A6" s="42">
        <v>1</v>
      </c>
      <c r="B6" s="337" t="s">
        <v>56</v>
      </c>
      <c r="C6" s="338"/>
      <c r="D6" s="339"/>
      <c r="E6" s="339"/>
      <c r="F6" s="339"/>
      <c r="G6" s="339"/>
      <c r="H6" s="339"/>
      <c r="I6" s="339"/>
      <c r="J6" s="339"/>
      <c r="K6" s="339"/>
      <c r="L6" s="339"/>
    </row>
    <row r="7" spans="1:12" x14ac:dyDescent="0.25">
      <c r="A7" s="50">
        <v>1.1000000000000001</v>
      </c>
      <c r="B7" s="340" t="s">
        <v>58</v>
      </c>
      <c r="C7" s="56">
        <v>0</v>
      </c>
      <c r="D7" s="341">
        <f>+' Qtr-1 April-24 to June-24 '!F17</f>
        <v>0</v>
      </c>
      <c r="E7" s="341">
        <f>+' Qtr- 2 July-24 to Sept-24  (2)'!F17</f>
        <v>0</v>
      </c>
      <c r="F7" s="341">
        <f>+' Qtr-3 Octo-24 to Dec-24'!F18</f>
        <v>0</v>
      </c>
      <c r="G7" s="341">
        <f>+' Qtr-4 Jan-25 to march-25'!F16</f>
        <v>0</v>
      </c>
      <c r="H7" s="341">
        <f>SUM(D7:G7)</f>
        <v>0</v>
      </c>
      <c r="I7" s="342" t="e">
        <f>H7/C7</f>
        <v>#DIV/0!</v>
      </c>
      <c r="J7" s="343">
        <f>C7-H7</f>
        <v>0</v>
      </c>
      <c r="K7" s="342" t="e">
        <f>J7/C7</f>
        <v>#DIV/0!</v>
      </c>
      <c r="L7" s="341"/>
    </row>
    <row r="8" spans="1:12" ht="24" x14ac:dyDescent="0.25">
      <c r="A8" s="61">
        <v>1.2</v>
      </c>
      <c r="B8" s="344" t="s">
        <v>59</v>
      </c>
      <c r="C8" s="345"/>
      <c r="D8" s="346"/>
      <c r="E8" s="346"/>
      <c r="F8" s="346"/>
      <c r="G8" s="346"/>
      <c r="H8" s="346"/>
      <c r="I8" s="347"/>
      <c r="J8" s="346"/>
      <c r="K8" s="346"/>
      <c r="L8" s="346"/>
    </row>
    <row r="9" spans="1:12" ht="24" x14ac:dyDescent="0.25">
      <c r="A9" s="70" t="s">
        <v>60</v>
      </c>
      <c r="B9" s="340" t="s">
        <v>61</v>
      </c>
      <c r="C9" s="56">
        <v>79920</v>
      </c>
      <c r="D9" s="341">
        <f>+' Qtr-1 April-24 to June-24 '!F23</f>
        <v>19365</v>
      </c>
      <c r="E9" s="341">
        <f>+' Qtr- 2 July-24 to Sept-24  (2)'!F23</f>
        <v>17580</v>
      </c>
      <c r="F9" s="341">
        <f>+' Qtr-3 Octo-24 to Dec-24'!F24</f>
        <v>18735</v>
      </c>
      <c r="G9" s="341">
        <f>+' Qtr-4 Jan-25 to march-25'!F21</f>
        <v>0</v>
      </c>
      <c r="H9" s="341">
        <f>SUM(D9:G9)</f>
        <v>55680</v>
      </c>
      <c r="I9" s="342">
        <f>H9/C9</f>
        <v>0.69669669669669665</v>
      </c>
      <c r="J9" s="343">
        <f>C9-H9</f>
        <v>24240</v>
      </c>
      <c r="K9" s="342">
        <f>J9/C9</f>
        <v>0.3033033033033033</v>
      </c>
      <c r="L9" s="341"/>
    </row>
    <row r="10" spans="1:12" x14ac:dyDescent="0.25">
      <c r="A10" s="72"/>
      <c r="B10" s="348" t="s">
        <v>63</v>
      </c>
      <c r="C10" s="75">
        <f t="shared" ref="C10:H10" si="0">SUM(C7,C9)</f>
        <v>79920</v>
      </c>
      <c r="D10" s="349">
        <f t="shared" si="0"/>
        <v>19365</v>
      </c>
      <c r="E10" s="349">
        <f t="shared" si="0"/>
        <v>17580</v>
      </c>
      <c r="F10" s="349">
        <f t="shared" si="0"/>
        <v>18735</v>
      </c>
      <c r="G10" s="349">
        <f t="shared" si="0"/>
        <v>0</v>
      </c>
      <c r="H10" s="349">
        <f t="shared" si="0"/>
        <v>55680</v>
      </c>
      <c r="I10" s="349"/>
      <c r="J10" s="349">
        <f>SUM(J7,J9)</f>
        <v>24240</v>
      </c>
      <c r="K10" s="350">
        <f>J10/C10</f>
        <v>0.3033033033033033</v>
      </c>
      <c r="L10" s="349"/>
    </row>
    <row r="11" spans="1:12" ht="60" x14ac:dyDescent="0.25">
      <c r="A11" s="80">
        <v>1.3</v>
      </c>
      <c r="B11" s="351" t="s">
        <v>64</v>
      </c>
      <c r="C11" s="352"/>
      <c r="D11" s="353"/>
      <c r="E11" s="353"/>
      <c r="F11" s="353"/>
      <c r="G11" s="353"/>
      <c r="H11" s="353"/>
      <c r="I11" s="353"/>
      <c r="J11" s="353"/>
      <c r="K11" s="353"/>
      <c r="L11" s="353"/>
    </row>
    <row r="12" spans="1:12" ht="36" x14ac:dyDescent="0.25">
      <c r="A12" s="70" t="s">
        <v>65</v>
      </c>
      <c r="B12" s="340" t="s">
        <v>66</v>
      </c>
      <c r="C12" s="56">
        <v>2000</v>
      </c>
      <c r="D12" s="341">
        <f>+' Qtr-1 April-24 to June-24 '!F30</f>
        <v>1960</v>
      </c>
      <c r="E12" s="341">
        <f>+' Qtr- 2 July-24 to Sept-24  (2)'!F28</f>
        <v>0</v>
      </c>
      <c r="F12" s="341">
        <f>+' Qtr-3 Octo-24 to Dec-24'!F31</f>
        <v>0</v>
      </c>
      <c r="G12" s="341">
        <f>+' Qtr-4 Jan-25 to march-25'!F28</f>
        <v>0</v>
      </c>
      <c r="H12" s="341">
        <f>SUM(D12:G12)</f>
        <v>1960</v>
      </c>
      <c r="I12" s="342">
        <f>H12/C12</f>
        <v>0.98</v>
      </c>
      <c r="J12" s="343">
        <f>C12-H12</f>
        <v>40</v>
      </c>
      <c r="K12" s="342">
        <f>J12/C12</f>
        <v>0.02</v>
      </c>
      <c r="L12" s="341"/>
    </row>
    <row r="13" spans="1:12" x14ac:dyDescent="0.25">
      <c r="A13" s="70" t="s">
        <v>68</v>
      </c>
      <c r="B13" s="354" t="s">
        <v>69</v>
      </c>
      <c r="C13" s="56">
        <v>12480</v>
      </c>
      <c r="D13" s="341">
        <f>+' Qtr-1 April-24 to June-24 '!F35</f>
        <v>3120</v>
      </c>
      <c r="E13" s="341">
        <f>+' Qtr- 2 July-24 to Sept-24  (2)'!F31</f>
        <v>0</v>
      </c>
      <c r="F13" s="341">
        <f>+' Qtr-3 Octo-24 to Dec-24'!F36</f>
        <v>6120</v>
      </c>
      <c r="G13" s="341">
        <f>+' Qtr-4 Jan-25 to march-25'!F33</f>
        <v>0</v>
      </c>
      <c r="H13" s="341">
        <f>SUM(D13:G13)</f>
        <v>9240</v>
      </c>
      <c r="I13" s="342">
        <f>H13/C13</f>
        <v>0.74038461538461542</v>
      </c>
      <c r="J13" s="343">
        <f>C13-H13</f>
        <v>3240</v>
      </c>
      <c r="K13" s="342">
        <f>J13/C13</f>
        <v>0.25961538461538464</v>
      </c>
      <c r="L13" s="341"/>
    </row>
    <row r="14" spans="1:12" ht="24" x14ac:dyDescent="0.25">
      <c r="A14" s="70" t="s">
        <v>72</v>
      </c>
      <c r="B14" s="340" t="s">
        <v>73</v>
      </c>
      <c r="C14" s="56">
        <v>20000</v>
      </c>
      <c r="D14" s="341">
        <f>+' Qtr-1 April-24 to June-24 '!F39</f>
        <v>5000</v>
      </c>
      <c r="E14" s="341">
        <f>+' Qtr- 2 July-24 to Sept-24  (2)'!F34</f>
        <v>0</v>
      </c>
      <c r="F14" s="341">
        <f>+' Qtr-3 Octo-24 to Dec-24'!F41</f>
        <v>10000</v>
      </c>
      <c r="G14" s="341">
        <f>+' Qtr-4 Jan-25 to march-25'!F37</f>
        <v>0</v>
      </c>
      <c r="H14" s="341">
        <f>SUM(D14:G14)</f>
        <v>15000</v>
      </c>
      <c r="I14" s="342">
        <f>H14/C14</f>
        <v>0.75</v>
      </c>
      <c r="J14" s="343">
        <f>C14-H14</f>
        <v>5000</v>
      </c>
      <c r="K14" s="342">
        <f>J14/C14</f>
        <v>0.25</v>
      </c>
      <c r="L14" s="341"/>
    </row>
    <row r="15" spans="1:12" x14ac:dyDescent="0.25">
      <c r="A15" s="70" t="s">
        <v>76</v>
      </c>
      <c r="B15" s="340" t="s">
        <v>77</v>
      </c>
      <c r="C15" s="56">
        <v>2000</v>
      </c>
      <c r="D15" s="341">
        <f>+' Qtr-1 April-24 to June-24 '!F43</f>
        <v>500</v>
      </c>
      <c r="E15" s="341">
        <f>+' Qtr- 2 July-24 to Sept-24  (2)'!F37</f>
        <v>0</v>
      </c>
      <c r="F15" s="341">
        <f>+' Qtr-3 Octo-24 to Dec-24'!F45</f>
        <v>900</v>
      </c>
      <c r="G15" s="341">
        <f>+' Qtr-4 Jan-25 to march-25'!F41</f>
        <v>0</v>
      </c>
      <c r="H15" s="341">
        <f>SUM(D15:G15)</f>
        <v>1400</v>
      </c>
      <c r="I15" s="342">
        <f>H15/C15</f>
        <v>0.7</v>
      </c>
      <c r="J15" s="343">
        <f>C15-H15</f>
        <v>600</v>
      </c>
      <c r="K15" s="342">
        <f>J15/C15</f>
        <v>0.3</v>
      </c>
      <c r="L15" s="341"/>
    </row>
    <row r="16" spans="1:12" x14ac:dyDescent="0.25">
      <c r="A16" s="85"/>
      <c r="B16" s="348" t="s">
        <v>79</v>
      </c>
      <c r="C16" s="75">
        <f t="shared" ref="C16:J16" si="1">SUM(C12:C15)</f>
        <v>36480</v>
      </c>
      <c r="D16" s="349">
        <f t="shared" si="1"/>
        <v>10580</v>
      </c>
      <c r="E16" s="349">
        <f t="shared" si="1"/>
        <v>0</v>
      </c>
      <c r="F16" s="349">
        <f t="shared" si="1"/>
        <v>17020</v>
      </c>
      <c r="G16" s="349">
        <f t="shared" si="1"/>
        <v>0</v>
      </c>
      <c r="H16" s="349">
        <f t="shared" si="1"/>
        <v>27600</v>
      </c>
      <c r="I16" s="349">
        <f t="shared" si="1"/>
        <v>3.1703846153846156</v>
      </c>
      <c r="J16" s="349">
        <f t="shared" si="1"/>
        <v>8880</v>
      </c>
      <c r="K16" s="350">
        <f>J16/C16</f>
        <v>0.24342105263157895</v>
      </c>
      <c r="L16" s="349">
        <f>SUM(L12:L15)</f>
        <v>0</v>
      </c>
    </row>
    <row r="17" spans="1:12" ht="60" x14ac:dyDescent="0.25">
      <c r="A17" s="80">
        <v>1.4</v>
      </c>
      <c r="B17" s="351" t="s">
        <v>80</v>
      </c>
      <c r="C17" s="352"/>
      <c r="D17" s="353"/>
      <c r="E17" s="353"/>
      <c r="F17" s="353"/>
      <c r="G17" s="353"/>
      <c r="H17" s="353"/>
      <c r="I17" s="353"/>
      <c r="J17" s="353"/>
      <c r="K17" s="353"/>
      <c r="L17" s="353"/>
    </row>
    <row r="18" spans="1:12" x14ac:dyDescent="0.25">
      <c r="A18" s="90" t="s">
        <v>81</v>
      </c>
      <c r="B18" s="340" t="s">
        <v>82</v>
      </c>
      <c r="C18" s="56">
        <v>8000</v>
      </c>
      <c r="D18" s="341">
        <f>+' Qtr-1 April-24 to June-24 '!F49</f>
        <v>1990</v>
      </c>
      <c r="E18" s="341">
        <f>+' Qtr- 2 July-24 to Sept-24  (2)'!F43</f>
        <v>1930</v>
      </c>
      <c r="F18" s="341">
        <f>+' Qtr-3 Octo-24 to Dec-24'!F51</f>
        <v>4000</v>
      </c>
      <c r="G18" s="341">
        <f>+' Qtr-4 Jan-25 to march-25'!F46</f>
        <v>0</v>
      </c>
      <c r="H18" s="341">
        <f>SUM(D18:G18)</f>
        <v>7920</v>
      </c>
      <c r="I18" s="342">
        <f>H18/C18</f>
        <v>0.99</v>
      </c>
      <c r="J18" s="343">
        <f>C18-H18</f>
        <v>80</v>
      </c>
      <c r="K18" s="342">
        <f>J18/C18</f>
        <v>0.01</v>
      </c>
      <c r="L18" s="341"/>
    </row>
    <row r="19" spans="1:12" ht="36" x14ac:dyDescent="0.25">
      <c r="A19" s="90" t="s">
        <v>83</v>
      </c>
      <c r="B19" s="340" t="s">
        <v>84</v>
      </c>
      <c r="C19" s="56">
        <v>19680</v>
      </c>
      <c r="D19" s="341">
        <f>+' Qtr-1 April-24 to June-24 '!F53</f>
        <v>4920</v>
      </c>
      <c r="E19" s="341">
        <f>+' Qtr- 2 July-24 to Sept-24  (2)'!F47</f>
        <v>4680</v>
      </c>
      <c r="F19" s="341">
        <f>+' Qtr-3 Octo-24 to Dec-24'!F55</f>
        <v>9360</v>
      </c>
      <c r="G19" s="341">
        <f>+' Qtr-4 Jan-25 to march-25'!F50</f>
        <v>0</v>
      </c>
      <c r="H19" s="341">
        <f>SUM(D19:G19)</f>
        <v>18960</v>
      </c>
      <c r="I19" s="342">
        <f>H19/C19</f>
        <v>0.96341463414634143</v>
      </c>
      <c r="J19" s="343">
        <f>C19-H19</f>
        <v>720</v>
      </c>
      <c r="K19" s="342">
        <f>J19/C19</f>
        <v>3.6585365853658534E-2</v>
      </c>
      <c r="L19" s="341"/>
    </row>
    <row r="20" spans="1:12" ht="36" x14ac:dyDescent="0.25">
      <c r="A20" s="90" t="s">
        <v>85</v>
      </c>
      <c r="B20" s="340" t="s">
        <v>86</v>
      </c>
      <c r="C20" s="56">
        <v>30000</v>
      </c>
      <c r="D20" s="341">
        <f>+' Qtr-1 April-24 to June-24 '!F57</f>
        <v>5000</v>
      </c>
      <c r="E20" s="341">
        <f>+' Qtr- 2 July-24 to Sept-24  (2)'!F51</f>
        <v>5000</v>
      </c>
      <c r="F20" s="341">
        <f>+' Qtr-3 Octo-24 to Dec-24'!F59</f>
        <v>10000</v>
      </c>
      <c r="G20" s="341">
        <f>+' Qtr-4 Jan-25 to march-25'!F54</f>
        <v>0</v>
      </c>
      <c r="H20" s="341">
        <f>SUM(D20:G20)</f>
        <v>20000</v>
      </c>
      <c r="I20" s="342">
        <f>H20/C20</f>
        <v>0.66666666666666663</v>
      </c>
      <c r="J20" s="343">
        <f>C20-H20</f>
        <v>10000</v>
      </c>
      <c r="K20" s="342">
        <f>J20/C20</f>
        <v>0.33333333333333331</v>
      </c>
      <c r="L20" s="555"/>
    </row>
    <row r="21" spans="1:12" x14ac:dyDescent="0.25">
      <c r="A21" s="90" t="s">
        <v>88</v>
      </c>
      <c r="B21" s="340" t="s">
        <v>77</v>
      </c>
      <c r="C21" s="56">
        <v>2000</v>
      </c>
      <c r="D21" s="341">
        <f>+' Qtr-1 April-24 to June-24 '!F61</f>
        <v>525</v>
      </c>
      <c r="E21" s="341">
        <f>+' Qtr- 2 July-24 to Sept-24  (2)'!F55</f>
        <v>525</v>
      </c>
      <c r="F21" s="341">
        <f>+' Qtr-3 Octo-24 to Dec-24'!F63</f>
        <v>990</v>
      </c>
      <c r="G21" s="341">
        <f>+' Qtr-4 Jan-25 to march-25'!F58</f>
        <v>0</v>
      </c>
      <c r="H21" s="341">
        <f>SUM(D21:G21)</f>
        <v>2040</v>
      </c>
      <c r="I21" s="342">
        <f>H21/C21</f>
        <v>1.02</v>
      </c>
      <c r="J21" s="343">
        <f>C21-H21</f>
        <v>-40</v>
      </c>
      <c r="K21" s="342">
        <f>J21/C21</f>
        <v>-0.02</v>
      </c>
      <c r="L21" s="341"/>
    </row>
    <row r="22" spans="1:12" x14ac:dyDescent="0.25">
      <c r="A22" s="94"/>
      <c r="B22" s="355" t="s">
        <v>89</v>
      </c>
      <c r="C22" s="97">
        <f t="shared" ref="C22:J22" si="2">SUM(C18:C21)</f>
        <v>59680</v>
      </c>
      <c r="D22" s="356">
        <f t="shared" si="2"/>
        <v>12435</v>
      </c>
      <c r="E22" s="356">
        <f t="shared" si="2"/>
        <v>12135</v>
      </c>
      <c r="F22" s="356">
        <f t="shared" si="2"/>
        <v>24350</v>
      </c>
      <c r="G22" s="356">
        <f t="shared" si="2"/>
        <v>0</v>
      </c>
      <c r="H22" s="356">
        <f t="shared" si="2"/>
        <v>48920</v>
      </c>
      <c r="I22" s="356">
        <f t="shared" si="2"/>
        <v>3.6400813008130082</v>
      </c>
      <c r="J22" s="356">
        <f t="shared" si="2"/>
        <v>10760</v>
      </c>
      <c r="K22" s="350">
        <f>J22/C22</f>
        <v>0.18029490616621985</v>
      </c>
      <c r="L22" s="356">
        <f>SUM(L18:L21)</f>
        <v>0</v>
      </c>
    </row>
    <row r="23" spans="1:12" ht="15.75" x14ac:dyDescent="0.25">
      <c r="A23" s="80">
        <v>1.5</v>
      </c>
      <c r="B23" s="351" t="s">
        <v>90</v>
      </c>
      <c r="C23" s="352"/>
      <c r="D23" s="353"/>
      <c r="E23" s="353"/>
      <c r="F23" s="353"/>
      <c r="G23" s="353"/>
      <c r="H23" s="353"/>
      <c r="I23" s="353"/>
      <c r="J23" s="353"/>
      <c r="K23" s="353"/>
      <c r="L23" s="353"/>
    </row>
    <row r="24" spans="1:12" ht="38.25" x14ac:dyDescent="0.25">
      <c r="A24" s="90" t="s">
        <v>91</v>
      </c>
      <c r="B24" s="51" t="s">
        <v>346</v>
      </c>
      <c r="C24" s="56">
        <v>157320</v>
      </c>
      <c r="D24" s="341">
        <f>+' Qtr-1 April-24 to June-24 '!F66</f>
        <v>0</v>
      </c>
      <c r="E24" s="341">
        <f>+' Qtr- 2 July-24 to Sept-24  (2)'!F60</f>
        <v>154754</v>
      </c>
      <c r="F24" s="341">
        <f>+' Qtr-3 Octo-24 to Dec-24'!F68</f>
        <v>3500</v>
      </c>
      <c r="G24" s="341">
        <f>+' Qtr-4 Jan-25 to march-25'!F63</f>
        <v>0</v>
      </c>
      <c r="H24" s="341">
        <f>SUM(D24:G24)</f>
        <v>158254</v>
      </c>
      <c r="I24" s="342">
        <f>H24/C24</f>
        <v>1.0059369438087973</v>
      </c>
      <c r="J24" s="343">
        <f>C24-H24</f>
        <v>-934</v>
      </c>
      <c r="K24" s="342">
        <f>J24/C24</f>
        <v>-5.9369438087973556E-3</v>
      </c>
      <c r="L24" s="341"/>
    </row>
    <row r="25" spans="1:12" x14ac:dyDescent="0.25">
      <c r="A25" s="94"/>
      <c r="B25" s="355" t="s">
        <v>93</v>
      </c>
      <c r="C25" s="97">
        <f t="shared" ref="C25:J25" si="3">C24</f>
        <v>157320</v>
      </c>
      <c r="D25" s="357">
        <f t="shared" si="3"/>
        <v>0</v>
      </c>
      <c r="E25" s="357">
        <f t="shared" si="3"/>
        <v>154754</v>
      </c>
      <c r="F25" s="357">
        <f t="shared" si="3"/>
        <v>3500</v>
      </c>
      <c r="G25" s="357">
        <f t="shared" si="3"/>
        <v>0</v>
      </c>
      <c r="H25" s="357">
        <f t="shared" si="3"/>
        <v>158254</v>
      </c>
      <c r="I25" s="357">
        <f t="shared" si="3"/>
        <v>1.0059369438087973</v>
      </c>
      <c r="J25" s="357">
        <f t="shared" si="3"/>
        <v>-934</v>
      </c>
      <c r="K25" s="350">
        <f>J25/C25</f>
        <v>-5.9369438087973556E-3</v>
      </c>
      <c r="L25" s="357">
        <f>L24</f>
        <v>0</v>
      </c>
    </row>
    <row r="26" spans="1:12" ht="15.75" x14ac:dyDescent="0.25">
      <c r="A26" s="80">
        <v>1.6</v>
      </c>
      <c r="B26" s="351" t="s">
        <v>94</v>
      </c>
      <c r="C26" s="358"/>
      <c r="D26" s="353"/>
      <c r="E26" s="353"/>
      <c r="F26" s="353"/>
      <c r="G26" s="353"/>
      <c r="H26" s="353"/>
      <c r="I26" s="353"/>
      <c r="J26" s="353"/>
      <c r="K26" s="353"/>
      <c r="L26" s="353"/>
    </row>
    <row r="27" spans="1:12" x14ac:dyDescent="0.25">
      <c r="A27" s="90" t="s">
        <v>95</v>
      </c>
      <c r="B27" s="340" t="s">
        <v>96</v>
      </c>
      <c r="C27" s="56">
        <v>0</v>
      </c>
      <c r="D27" s="341">
        <f>+' Qtr-1 April-24 to June-24 '!F69</f>
        <v>0</v>
      </c>
      <c r="E27" s="341">
        <f>+' Qtr- 2 July-24 to Sept-24  (2)'!F65</f>
        <v>0</v>
      </c>
      <c r="F27" s="341">
        <f>+' Qtr-3 Octo-24 to Dec-24'!F73</f>
        <v>0</v>
      </c>
      <c r="G27" s="341">
        <f>+' Qtr-4 Jan-25 to march-25'!F68</f>
        <v>0</v>
      </c>
      <c r="H27" s="341">
        <f>SUM(D27:G27)</f>
        <v>0</v>
      </c>
      <c r="I27" s="342" t="e">
        <f>H27/C27</f>
        <v>#DIV/0!</v>
      </c>
      <c r="J27" s="343">
        <f>C27-H27</f>
        <v>0</v>
      </c>
      <c r="K27" s="342" t="e">
        <f t="shared" ref="K27:K32" si="4">J27/C27</f>
        <v>#DIV/0!</v>
      </c>
      <c r="L27" s="341"/>
    </row>
    <row r="28" spans="1:12" ht="24" x14ac:dyDescent="0.25">
      <c r="A28" s="90" t="s">
        <v>99</v>
      </c>
      <c r="B28" s="354" t="s">
        <v>100</v>
      </c>
      <c r="C28" s="56">
        <v>0</v>
      </c>
      <c r="D28" s="341">
        <f>+' Qtr-1 April-24 to June-24 '!F70</f>
        <v>0</v>
      </c>
      <c r="E28" s="341">
        <f>+' Qtr- 2 July-24 to Sept-24  (2)'!F68</f>
        <v>0</v>
      </c>
      <c r="F28" s="341">
        <f>+' Qtr-3 Octo-24 to Dec-24'!F76</f>
        <v>0</v>
      </c>
      <c r="G28" s="341">
        <f>+' Qtr-4 Jan-25 to march-25'!F71</f>
        <v>0</v>
      </c>
      <c r="H28" s="341">
        <f>SUM(D28:G28)</f>
        <v>0</v>
      </c>
      <c r="I28" s="342" t="e">
        <f>H28/C28</f>
        <v>#DIV/0!</v>
      </c>
      <c r="J28" s="343">
        <f>C28-H28</f>
        <v>0</v>
      </c>
      <c r="K28" s="342" t="e">
        <f t="shared" si="4"/>
        <v>#DIV/0!</v>
      </c>
      <c r="L28" s="341"/>
    </row>
    <row r="29" spans="1:12" ht="36" x14ac:dyDescent="0.25">
      <c r="A29" s="90" t="s">
        <v>101</v>
      </c>
      <c r="B29" s="340" t="s">
        <v>102</v>
      </c>
      <c r="C29" s="56">
        <v>0</v>
      </c>
      <c r="D29" s="341">
        <f>+' Qtr-1 April-24 to June-24 '!F71</f>
        <v>0</v>
      </c>
      <c r="E29" s="341">
        <f>+' Qtr- 2 July-24 to Sept-24  (2)'!F71</f>
        <v>0</v>
      </c>
      <c r="F29" s="341">
        <f>+' Qtr-3 Octo-24 to Dec-24'!F79</f>
        <v>0</v>
      </c>
      <c r="G29" s="341">
        <f>+' Qtr-4 Jan-25 to march-25'!F75</f>
        <v>0</v>
      </c>
      <c r="H29" s="341">
        <f>SUM(D29:G29)</f>
        <v>0</v>
      </c>
      <c r="I29" s="342" t="e">
        <f>H29/C29</f>
        <v>#DIV/0!</v>
      </c>
      <c r="J29" s="343">
        <f>C29-H29</f>
        <v>0</v>
      </c>
      <c r="K29" s="342" t="e">
        <f t="shared" si="4"/>
        <v>#DIV/0!</v>
      </c>
      <c r="L29" s="341"/>
    </row>
    <row r="30" spans="1:12" ht="24" x14ac:dyDescent="0.25">
      <c r="A30" s="90" t="s">
        <v>103</v>
      </c>
      <c r="B30" s="340" t="s">
        <v>104</v>
      </c>
      <c r="C30" s="56">
        <v>0</v>
      </c>
      <c r="D30" s="341">
        <f>+' Qtr-1 April-24 to June-24 '!F72</f>
        <v>0</v>
      </c>
      <c r="E30" s="341">
        <f>+' Qtr- 2 July-24 to Sept-24  (2)'!F74</f>
        <v>0</v>
      </c>
      <c r="F30" s="341">
        <f>+' Qtr-3 Octo-24 to Dec-24'!F82</f>
        <v>0</v>
      </c>
      <c r="G30" s="341">
        <f>+' Qtr-4 Jan-25 to march-25'!F79</f>
        <v>0</v>
      </c>
      <c r="H30" s="341">
        <f>SUM(D30:G30)</f>
        <v>0</v>
      </c>
      <c r="I30" s="342" t="e">
        <f>H30/C30</f>
        <v>#DIV/0!</v>
      </c>
      <c r="J30" s="343">
        <f>C30-H30</f>
        <v>0</v>
      </c>
      <c r="K30" s="342" t="e">
        <f t="shared" si="4"/>
        <v>#DIV/0!</v>
      </c>
      <c r="L30" s="559"/>
    </row>
    <row r="31" spans="1:12" x14ac:dyDescent="0.25">
      <c r="A31" s="94"/>
      <c r="B31" s="355" t="s">
        <v>105</v>
      </c>
      <c r="C31" s="97">
        <f t="shared" ref="C31:J31" si="5">SUM(C27:C30)</f>
        <v>0</v>
      </c>
      <c r="D31" s="357">
        <f t="shared" si="5"/>
        <v>0</v>
      </c>
      <c r="E31" s="357">
        <f t="shared" si="5"/>
        <v>0</v>
      </c>
      <c r="F31" s="357">
        <f t="shared" si="5"/>
        <v>0</v>
      </c>
      <c r="G31" s="357">
        <f t="shared" si="5"/>
        <v>0</v>
      </c>
      <c r="H31" s="357">
        <f t="shared" si="5"/>
        <v>0</v>
      </c>
      <c r="I31" s="357" t="e">
        <f t="shared" si="5"/>
        <v>#DIV/0!</v>
      </c>
      <c r="J31" s="357">
        <f t="shared" si="5"/>
        <v>0</v>
      </c>
      <c r="K31" s="350" t="e">
        <f t="shared" si="4"/>
        <v>#DIV/0!</v>
      </c>
      <c r="L31" s="357">
        <f>SUM(L27:L30)</f>
        <v>0</v>
      </c>
    </row>
    <row r="32" spans="1:12" x14ac:dyDescent="0.25">
      <c r="A32" s="359"/>
      <c r="B32" s="360" t="s">
        <v>106</v>
      </c>
      <c r="C32" s="98">
        <f t="shared" ref="C32:J32" si="6">SUM(C31,C25,C22,C16,C10)</f>
        <v>333400</v>
      </c>
      <c r="D32" s="98">
        <f t="shared" si="6"/>
        <v>42380</v>
      </c>
      <c r="E32" s="98">
        <f t="shared" si="6"/>
        <v>184469</v>
      </c>
      <c r="F32" s="98">
        <f t="shared" si="6"/>
        <v>63605</v>
      </c>
      <c r="G32" s="98">
        <f t="shared" si="6"/>
        <v>0</v>
      </c>
      <c r="H32" s="98">
        <f t="shared" si="6"/>
        <v>290454</v>
      </c>
      <c r="I32" s="98" t="e">
        <f t="shared" si="6"/>
        <v>#DIV/0!</v>
      </c>
      <c r="J32" s="98">
        <f t="shared" si="6"/>
        <v>42946</v>
      </c>
      <c r="K32" s="361">
        <f t="shared" si="4"/>
        <v>0.12881223755248949</v>
      </c>
      <c r="L32" s="98">
        <f>SUM(L31,L25,L22,L16,L10)</f>
        <v>0</v>
      </c>
    </row>
    <row r="33" spans="1:12" x14ac:dyDescent="0.25">
      <c r="A33" s="116"/>
      <c r="B33" s="362" t="s">
        <v>107</v>
      </c>
      <c r="C33" s="119"/>
      <c r="D33" s="119"/>
      <c r="E33" s="119"/>
      <c r="F33" s="119"/>
      <c r="G33" s="119"/>
      <c r="H33" s="119"/>
      <c r="I33" s="119"/>
      <c r="J33" s="119"/>
      <c r="K33" s="119"/>
      <c r="L33" s="119"/>
    </row>
    <row r="34" spans="1:12" ht="84" x14ac:dyDescent="0.25">
      <c r="A34" s="80">
        <v>2.1</v>
      </c>
      <c r="B34" s="351" t="s">
        <v>108</v>
      </c>
      <c r="C34" s="363"/>
      <c r="D34" s="358"/>
      <c r="E34" s="358"/>
      <c r="F34" s="358"/>
      <c r="G34" s="358"/>
      <c r="H34" s="358"/>
      <c r="I34" s="358"/>
      <c r="J34" s="358"/>
      <c r="K34" s="358"/>
      <c r="L34" s="358"/>
    </row>
    <row r="35" spans="1:12" ht="24" x14ac:dyDescent="0.25">
      <c r="A35" s="124" t="s">
        <v>109</v>
      </c>
      <c r="B35" s="340" t="s">
        <v>110</v>
      </c>
      <c r="C35" s="56">
        <v>8000</v>
      </c>
      <c r="D35" s="341">
        <f>+' Qtr-1 April-24 to June-24 '!F80</f>
        <v>1990</v>
      </c>
      <c r="E35" s="341">
        <f>+' Qtr- 2 July-24 to Sept-24  (2)'!F82</f>
        <v>1930</v>
      </c>
      <c r="F35" s="341">
        <f>+' Qtr-3 Octo-24 to Dec-24'!F90</f>
        <v>1930</v>
      </c>
      <c r="G35" s="341">
        <f>+' Qtr-4 Jan-25 to march-25'!F87</f>
        <v>0</v>
      </c>
      <c r="H35" s="341">
        <f>SUM(D35:G35)</f>
        <v>5850</v>
      </c>
      <c r="I35" s="342">
        <f>H35/C35</f>
        <v>0.73124999999999996</v>
      </c>
      <c r="J35" s="343">
        <f>C35-H35</f>
        <v>2150</v>
      </c>
      <c r="K35" s="342">
        <f>J35/C35</f>
        <v>0.26874999999999999</v>
      </c>
      <c r="L35" s="341"/>
    </row>
    <row r="36" spans="1:12" ht="36" x14ac:dyDescent="0.25">
      <c r="A36" s="124" t="s">
        <v>111</v>
      </c>
      <c r="B36" s="340" t="s">
        <v>112</v>
      </c>
      <c r="C36" s="56">
        <v>19680</v>
      </c>
      <c r="D36" s="341">
        <f>+' Qtr-1 April-24 to June-24 '!F84</f>
        <v>4920</v>
      </c>
      <c r="E36" s="341">
        <f>+' Qtr- 2 July-24 to Sept-24  (2)'!F86</f>
        <v>4440</v>
      </c>
      <c r="F36" s="341">
        <f>+' Qtr-3 Octo-24 to Dec-24'!F94</f>
        <v>4680</v>
      </c>
      <c r="G36" s="341">
        <f>+' Qtr-4 Jan-25 to march-25'!F91</f>
        <v>0</v>
      </c>
      <c r="H36" s="341">
        <f>SUM(D36:G36)</f>
        <v>14040</v>
      </c>
      <c r="I36" s="342">
        <f>H36/C36</f>
        <v>0.71341463414634143</v>
      </c>
      <c r="J36" s="343">
        <f>C36-H36</f>
        <v>5640</v>
      </c>
      <c r="K36" s="342">
        <f>J36/C36</f>
        <v>0.28658536585365851</v>
      </c>
      <c r="L36" s="341"/>
    </row>
    <row r="37" spans="1:12" ht="36" x14ac:dyDescent="0.25">
      <c r="A37" s="124" t="s">
        <v>113</v>
      </c>
      <c r="B37" s="340" t="s">
        <v>114</v>
      </c>
      <c r="C37" s="56">
        <v>20000</v>
      </c>
      <c r="D37" s="341">
        <f>+' Qtr-1 April-24 to June-24 '!F88</f>
        <v>5000</v>
      </c>
      <c r="E37" s="341">
        <f>+' Qtr- 2 July-24 to Sept-24  (2)'!F90</f>
        <v>5000</v>
      </c>
      <c r="F37" s="341">
        <f>+' Qtr-3 Octo-24 to Dec-24'!F98</f>
        <v>5000</v>
      </c>
      <c r="G37" s="341">
        <f>+' Qtr-4 Jan-25 to march-25'!F95</f>
        <v>0</v>
      </c>
      <c r="H37" s="341">
        <f>SUM(D37:G37)</f>
        <v>15000</v>
      </c>
      <c r="I37" s="342">
        <f>H37/C37</f>
        <v>0.75</v>
      </c>
      <c r="J37" s="343">
        <f>C37-H37</f>
        <v>5000</v>
      </c>
      <c r="K37" s="342">
        <f>J37/C37</f>
        <v>0.25</v>
      </c>
      <c r="L37" s="341"/>
    </row>
    <row r="38" spans="1:12" x14ac:dyDescent="0.25">
      <c r="A38" s="124" t="s">
        <v>116</v>
      </c>
      <c r="B38" s="340" t="s">
        <v>117</v>
      </c>
      <c r="C38" s="56">
        <v>2000</v>
      </c>
      <c r="D38" s="341">
        <f>+' Qtr-1 April-24 to June-24 '!F92</f>
        <v>525</v>
      </c>
      <c r="E38" s="341">
        <f>+' Qtr- 2 July-24 to Sept-24  (2)'!F94</f>
        <v>465</v>
      </c>
      <c r="F38" s="341">
        <f>+' Qtr-3 Octo-24 to Dec-24'!F102</f>
        <v>495</v>
      </c>
      <c r="G38" s="341">
        <f>+' Qtr-4 Jan-25 to march-25'!F99</f>
        <v>0</v>
      </c>
      <c r="H38" s="341">
        <f>SUM(D38:G38)</f>
        <v>1485</v>
      </c>
      <c r="I38" s="342">
        <f>H38/C38</f>
        <v>0.74250000000000005</v>
      </c>
      <c r="J38" s="343">
        <f>C38-H38</f>
        <v>515</v>
      </c>
      <c r="K38" s="342">
        <f>J38/C38</f>
        <v>0.25750000000000001</v>
      </c>
      <c r="L38" s="341"/>
    </row>
    <row r="39" spans="1:12" x14ac:dyDescent="0.25">
      <c r="A39" s="94"/>
      <c r="B39" s="355" t="s">
        <v>118</v>
      </c>
      <c r="C39" s="97">
        <f t="shared" ref="C39:J39" si="7">SUM(C35:C38)</f>
        <v>49680</v>
      </c>
      <c r="D39" s="356">
        <f t="shared" si="7"/>
        <v>12435</v>
      </c>
      <c r="E39" s="356">
        <f t="shared" si="7"/>
        <v>11835</v>
      </c>
      <c r="F39" s="356">
        <f t="shared" si="7"/>
        <v>12105</v>
      </c>
      <c r="G39" s="356">
        <f t="shared" si="7"/>
        <v>0</v>
      </c>
      <c r="H39" s="356">
        <f t="shared" si="7"/>
        <v>36375</v>
      </c>
      <c r="I39" s="356">
        <f t="shared" si="7"/>
        <v>2.9371646341463413</v>
      </c>
      <c r="J39" s="356">
        <f t="shared" si="7"/>
        <v>13305</v>
      </c>
      <c r="K39" s="350">
        <f>J39/C39</f>
        <v>0.26781400966183577</v>
      </c>
      <c r="L39" s="356">
        <f>SUM(L35:L38)</f>
        <v>0</v>
      </c>
    </row>
    <row r="40" spans="1:12" ht="36" x14ac:dyDescent="0.25">
      <c r="A40" s="80">
        <v>2.2000000000000002</v>
      </c>
      <c r="B40" s="351" t="s">
        <v>119</v>
      </c>
      <c r="C40" s="363"/>
      <c r="D40" s="358"/>
      <c r="E40" s="358"/>
      <c r="F40" s="358"/>
      <c r="G40" s="358"/>
      <c r="H40" s="358"/>
      <c r="I40" s="358"/>
      <c r="J40" s="358"/>
      <c r="K40" s="358"/>
      <c r="L40" s="358"/>
    </row>
    <row r="41" spans="1:12" x14ac:dyDescent="0.25">
      <c r="A41" s="124" t="s">
        <v>120</v>
      </c>
      <c r="B41" s="340" t="s">
        <v>121</v>
      </c>
      <c r="C41" s="56">
        <v>5000</v>
      </c>
      <c r="D41" s="341">
        <f>+' Qtr-1 April-24 to June-24 '!F98</f>
        <v>0</v>
      </c>
      <c r="E41" s="341">
        <f>+' Qtr- 2 July-24 to Sept-24  (2)'!F100</f>
        <v>2440</v>
      </c>
      <c r="F41" s="341">
        <f>+' Qtr-3 Octo-24 to Dec-24'!F108</f>
        <v>0</v>
      </c>
      <c r="G41" s="341">
        <f>+' Qtr-4 Jan-25 to march-25'!F105</f>
        <v>0</v>
      </c>
      <c r="H41" s="341">
        <f>SUM(D41:G41)</f>
        <v>2440</v>
      </c>
      <c r="I41" s="342">
        <f>H41/C41</f>
        <v>0.48799999999999999</v>
      </c>
      <c r="J41" s="343">
        <f>C41-H41</f>
        <v>2560</v>
      </c>
      <c r="K41" s="342">
        <f>J41/C41</f>
        <v>0.51200000000000001</v>
      </c>
      <c r="L41" s="341"/>
    </row>
    <row r="42" spans="1:12" ht="36" x14ac:dyDescent="0.25">
      <c r="A42" s="124" t="s">
        <v>122</v>
      </c>
      <c r="B42" s="340" t="s">
        <v>123</v>
      </c>
      <c r="C42" s="56">
        <v>9840</v>
      </c>
      <c r="D42" s="341">
        <f>+' Qtr-1 April-24 to June-24 '!F102</f>
        <v>0</v>
      </c>
      <c r="E42" s="341">
        <f>+' Qtr- 2 July-24 to Sept-24  (2)'!F104</f>
        <v>4440</v>
      </c>
      <c r="F42" s="341">
        <f>+' Qtr-3 Octo-24 to Dec-24'!F112</f>
        <v>0</v>
      </c>
      <c r="G42" s="341">
        <f>+' Qtr-4 Jan-25 to march-25'!F109</f>
        <v>0</v>
      </c>
      <c r="H42" s="341">
        <f>SUM(D42:G42)</f>
        <v>4440</v>
      </c>
      <c r="I42" s="342">
        <f>H42/C42</f>
        <v>0.45121951219512196</v>
      </c>
      <c r="J42" s="343">
        <f>C42-H42</f>
        <v>5400</v>
      </c>
      <c r="K42" s="342">
        <f>J42/C42</f>
        <v>0.54878048780487809</v>
      </c>
      <c r="L42" s="555"/>
    </row>
    <row r="43" spans="1:12" ht="24" x14ac:dyDescent="0.25">
      <c r="A43" s="124" t="s">
        <v>124</v>
      </c>
      <c r="B43" s="340" t="s">
        <v>125</v>
      </c>
      <c r="C43" s="56">
        <v>10000</v>
      </c>
      <c r="D43" s="341">
        <f>+' Qtr-1 April-24 to June-24 '!F106</f>
        <v>0</v>
      </c>
      <c r="E43" s="341">
        <f>+' Qtr- 2 July-24 to Sept-24  (2)'!F108</f>
        <v>5000</v>
      </c>
      <c r="F43" s="341">
        <f>+' Qtr-3 Octo-24 to Dec-24'!F116</f>
        <v>0</v>
      </c>
      <c r="G43" s="341">
        <f>+' Qtr-4 Jan-25 to march-25'!F113</f>
        <v>0</v>
      </c>
      <c r="H43" s="341">
        <f>SUM(D43:G43)</f>
        <v>5000</v>
      </c>
      <c r="I43" s="342">
        <f>H43/C43</f>
        <v>0.5</v>
      </c>
      <c r="J43" s="343">
        <f>C43-H43</f>
        <v>5000</v>
      </c>
      <c r="K43" s="342">
        <f>J43/C43</f>
        <v>0.5</v>
      </c>
      <c r="L43" s="341"/>
    </row>
    <row r="44" spans="1:12" x14ac:dyDescent="0.25">
      <c r="A44" s="124" t="s">
        <v>127</v>
      </c>
      <c r="B44" s="340" t="s">
        <v>117</v>
      </c>
      <c r="C44" s="56">
        <v>1000</v>
      </c>
      <c r="D44" s="341">
        <f>+' Qtr-1 April-24 to June-24 '!F110</f>
        <v>0</v>
      </c>
      <c r="E44" s="341">
        <f>+' Qtr- 2 July-24 to Sept-24  (2)'!F112</f>
        <v>527</v>
      </c>
      <c r="F44" s="341">
        <f>+' Qtr-3 Octo-24 to Dec-24'!F120</f>
        <v>0</v>
      </c>
      <c r="G44" s="341">
        <f>+' Qtr-4 Jan-25 to march-25'!F117</f>
        <v>0</v>
      </c>
      <c r="H44" s="341">
        <f>SUM(D44:G44)</f>
        <v>527</v>
      </c>
      <c r="I44" s="342">
        <f>H44/C44</f>
        <v>0.52700000000000002</v>
      </c>
      <c r="J44" s="343">
        <f>C44-H44</f>
        <v>473</v>
      </c>
      <c r="K44" s="342">
        <f>J44/C44</f>
        <v>0.47299999999999998</v>
      </c>
      <c r="L44" s="341"/>
    </row>
    <row r="45" spans="1:12" x14ac:dyDescent="0.25">
      <c r="A45" s="94"/>
      <c r="B45" s="355" t="s">
        <v>128</v>
      </c>
      <c r="C45" s="97">
        <f t="shared" ref="C45:J45" si="8">SUM(C41:C44)</f>
        <v>25840</v>
      </c>
      <c r="D45" s="356">
        <f t="shared" si="8"/>
        <v>0</v>
      </c>
      <c r="E45" s="356">
        <f t="shared" si="8"/>
        <v>12407</v>
      </c>
      <c r="F45" s="356">
        <f t="shared" si="8"/>
        <v>0</v>
      </c>
      <c r="G45" s="356">
        <f t="shared" si="8"/>
        <v>0</v>
      </c>
      <c r="H45" s="356">
        <f t="shared" si="8"/>
        <v>12407</v>
      </c>
      <c r="I45" s="356">
        <f t="shared" si="8"/>
        <v>1.966219512195122</v>
      </c>
      <c r="J45" s="356">
        <f t="shared" si="8"/>
        <v>13433</v>
      </c>
      <c r="K45" s="350">
        <f>J45/C45</f>
        <v>0.51985294117647063</v>
      </c>
      <c r="L45" s="356">
        <f>SUM(L41:L44)</f>
        <v>0</v>
      </c>
    </row>
    <row r="46" spans="1:12" ht="24" x14ac:dyDescent="0.25">
      <c r="A46" s="80">
        <v>2.2999999999999998</v>
      </c>
      <c r="B46" s="351" t="s">
        <v>129</v>
      </c>
      <c r="C46" s="363"/>
      <c r="D46" s="358"/>
      <c r="E46" s="358"/>
      <c r="F46" s="358"/>
      <c r="G46" s="358"/>
      <c r="H46" s="358"/>
      <c r="I46" s="358"/>
      <c r="J46" s="358"/>
      <c r="K46" s="358"/>
      <c r="L46" s="358"/>
    </row>
    <row r="47" spans="1:12" x14ac:dyDescent="0.25">
      <c r="A47" s="124" t="s">
        <v>130</v>
      </c>
      <c r="B47" s="340" t="s">
        <v>121</v>
      </c>
      <c r="C47" s="56">
        <v>5000</v>
      </c>
      <c r="D47" s="341">
        <f>+' Qtr-1 April-24 to June-24 '!F116</f>
        <v>0</v>
      </c>
      <c r="E47" s="341">
        <f>+' Qtr- 2 July-24 to Sept-24  (2)'!F118</f>
        <v>2460</v>
      </c>
      <c r="F47" s="341">
        <f>+' Qtr-3 Octo-24 to Dec-24'!F126</f>
        <v>0</v>
      </c>
      <c r="G47" s="341">
        <f>+' Qtr-4 Jan-25 to march-25'!F123</f>
        <v>0</v>
      </c>
      <c r="H47" s="341">
        <f>SUM(D47:G47)</f>
        <v>2460</v>
      </c>
      <c r="I47" s="342">
        <f>H47/C47</f>
        <v>0.49199999999999999</v>
      </c>
      <c r="J47" s="343">
        <f>C47-H47</f>
        <v>2540</v>
      </c>
      <c r="K47" s="342">
        <f>J47/C47</f>
        <v>0.50800000000000001</v>
      </c>
      <c r="L47" s="555"/>
    </row>
    <row r="48" spans="1:12" ht="36" x14ac:dyDescent="0.25">
      <c r="A48" s="124" t="s">
        <v>132</v>
      </c>
      <c r="B48" s="340" t="s">
        <v>133</v>
      </c>
      <c r="C48" s="56">
        <v>6480</v>
      </c>
      <c r="D48" s="341">
        <f>+' Qtr-1 April-24 to June-24 '!F120</f>
        <v>0</v>
      </c>
      <c r="E48" s="341">
        <f>+' Qtr- 2 July-24 to Sept-24  (2)'!F122</f>
        <v>3120</v>
      </c>
      <c r="F48" s="341">
        <f>+' Qtr-3 Octo-24 to Dec-24'!F130</f>
        <v>0</v>
      </c>
      <c r="G48" s="341">
        <f>+' Qtr-4 Jan-25 to march-25'!F127</f>
        <v>0</v>
      </c>
      <c r="H48" s="341">
        <f>SUM(D48:G48)</f>
        <v>3120</v>
      </c>
      <c r="I48" s="342">
        <f>H48/C48</f>
        <v>0.48148148148148145</v>
      </c>
      <c r="J48" s="343">
        <f>C48-H48</f>
        <v>3360</v>
      </c>
      <c r="K48" s="342">
        <f>J48/C48</f>
        <v>0.51851851851851849</v>
      </c>
      <c r="L48" s="555"/>
    </row>
    <row r="49" spans="1:12" ht="36" x14ac:dyDescent="0.25">
      <c r="A49" s="124" t="s">
        <v>135</v>
      </c>
      <c r="B49" s="340" t="s">
        <v>136</v>
      </c>
      <c r="C49" s="56">
        <v>10000</v>
      </c>
      <c r="D49" s="364">
        <f>+' Qtr-1 April-24 to June-24 '!F124</f>
        <v>0</v>
      </c>
      <c r="E49" s="364">
        <f>+' Qtr- 2 July-24 to Sept-24  (2)'!F126</f>
        <v>5000</v>
      </c>
      <c r="F49" s="341">
        <f>+' Qtr-3 Octo-24 to Dec-24'!F134</f>
        <v>0</v>
      </c>
      <c r="G49" s="341">
        <f>+' Qtr-4 Jan-25 to march-25'!F131</f>
        <v>0</v>
      </c>
      <c r="H49" s="341">
        <f>SUM(D49:G49)</f>
        <v>5000</v>
      </c>
      <c r="I49" s="342">
        <f>H49/C49</f>
        <v>0.5</v>
      </c>
      <c r="J49" s="343">
        <f>C49-H49</f>
        <v>5000</v>
      </c>
      <c r="K49" s="342">
        <f>J49/C49</f>
        <v>0.5</v>
      </c>
      <c r="L49" s="556"/>
    </row>
    <row r="50" spans="1:12" x14ac:dyDescent="0.25">
      <c r="A50" s="124" t="s">
        <v>139</v>
      </c>
      <c r="B50" s="340" t="s">
        <v>77</v>
      </c>
      <c r="C50" s="56">
        <v>1000</v>
      </c>
      <c r="D50" s="341">
        <f>+' Qtr-1 April-24 to June-24 '!F129</f>
        <v>0</v>
      </c>
      <c r="E50" s="341">
        <f>+' Qtr- 2 July-24 to Sept-24  (2)'!F130</f>
        <v>400</v>
      </c>
      <c r="F50" s="341">
        <f>+' Qtr-3 Octo-24 to Dec-24'!F139</f>
        <v>0</v>
      </c>
      <c r="G50" s="341">
        <f>+' Qtr-4 Jan-25 to march-25'!F136</f>
        <v>0</v>
      </c>
      <c r="H50" s="341">
        <f>SUM(D50:G50)</f>
        <v>400</v>
      </c>
      <c r="I50" s="342">
        <f>H50/C50</f>
        <v>0.4</v>
      </c>
      <c r="J50" s="343">
        <f>C50-H50</f>
        <v>600</v>
      </c>
      <c r="K50" s="342">
        <f>J50/C50</f>
        <v>0.6</v>
      </c>
      <c r="L50" s="555"/>
    </row>
    <row r="51" spans="1:12" x14ac:dyDescent="0.25">
      <c r="A51" s="94"/>
      <c r="B51" s="355" t="s">
        <v>141</v>
      </c>
      <c r="C51" s="97">
        <f t="shared" ref="C51:J51" si="9">SUM(C47:C50)</f>
        <v>22480</v>
      </c>
      <c r="D51" s="357">
        <f t="shared" si="9"/>
        <v>0</v>
      </c>
      <c r="E51" s="357">
        <f t="shared" si="9"/>
        <v>10980</v>
      </c>
      <c r="F51" s="357">
        <f t="shared" si="9"/>
        <v>0</v>
      </c>
      <c r="G51" s="357">
        <f t="shared" si="9"/>
        <v>0</v>
      </c>
      <c r="H51" s="357">
        <f t="shared" si="9"/>
        <v>10980</v>
      </c>
      <c r="I51" s="357">
        <f t="shared" si="9"/>
        <v>1.8734814814814813</v>
      </c>
      <c r="J51" s="357">
        <f t="shared" si="9"/>
        <v>11500</v>
      </c>
      <c r="K51" s="350">
        <f>J51/C51</f>
        <v>0.51156583629893237</v>
      </c>
      <c r="L51" s="357">
        <f>SUM(L47:L50)</f>
        <v>0</v>
      </c>
    </row>
    <row r="52" spans="1:12" ht="24" x14ac:dyDescent="0.25">
      <c r="A52" s="80">
        <v>2.4</v>
      </c>
      <c r="B52" s="351" t="s">
        <v>142</v>
      </c>
      <c r="C52" s="363"/>
      <c r="D52" s="353"/>
      <c r="E52" s="353"/>
      <c r="F52" s="353"/>
      <c r="G52" s="353"/>
      <c r="H52" s="353"/>
      <c r="I52" s="353"/>
      <c r="J52" s="353"/>
      <c r="K52" s="353"/>
      <c r="L52" s="353"/>
    </row>
    <row r="53" spans="1:12" x14ac:dyDescent="0.25">
      <c r="A53" s="124" t="s">
        <v>143</v>
      </c>
      <c r="B53" s="340" t="s">
        <v>121</v>
      </c>
      <c r="C53" s="56">
        <v>5000</v>
      </c>
      <c r="D53" s="341">
        <f>+' Qtr-1 April-24 to June-24 '!F135</f>
        <v>2480</v>
      </c>
      <c r="E53" s="341">
        <f>+' Qtr- 2 July-24 to Sept-24  (2)'!F135</f>
        <v>0</v>
      </c>
      <c r="F53" s="341">
        <f>+' Qtr-3 Octo-24 to Dec-24'!F145</f>
        <v>2440</v>
      </c>
      <c r="G53" s="341">
        <f>+' Qtr-4 Jan-25 to march-25'!F142</f>
        <v>0</v>
      </c>
      <c r="H53" s="341">
        <f>SUM(D53:G53)</f>
        <v>4920</v>
      </c>
      <c r="I53" s="342">
        <f>H53/C53</f>
        <v>0.98399999999999999</v>
      </c>
      <c r="J53" s="343">
        <f>C53-H53</f>
        <v>80</v>
      </c>
      <c r="K53" s="342">
        <f>J53/C53</f>
        <v>1.6E-2</v>
      </c>
      <c r="L53" s="341"/>
    </row>
    <row r="54" spans="1:12" x14ac:dyDescent="0.25">
      <c r="A54" s="124" t="s">
        <v>144</v>
      </c>
      <c r="B54" s="340" t="s">
        <v>145</v>
      </c>
      <c r="C54" s="56">
        <v>9840</v>
      </c>
      <c r="D54" s="341">
        <f>+' Qtr-1 April-24 to June-24 '!F139</f>
        <v>4680</v>
      </c>
      <c r="E54" s="341">
        <f>+' Qtr- 2 July-24 to Sept-24  (2)'!F138</f>
        <v>0</v>
      </c>
      <c r="F54" s="341">
        <f>+' Qtr-3 Octo-24 to Dec-24'!F149</f>
        <v>4920</v>
      </c>
      <c r="G54" s="341">
        <f>+' Qtr-4 Jan-25 to march-25'!F146</f>
        <v>0</v>
      </c>
      <c r="H54" s="341">
        <f>SUM(D54:G54)</f>
        <v>9600</v>
      </c>
      <c r="I54" s="342">
        <f>H54/C54</f>
        <v>0.97560975609756095</v>
      </c>
      <c r="J54" s="343">
        <f>C54-H54</f>
        <v>240</v>
      </c>
      <c r="K54" s="342">
        <f>J54/C54</f>
        <v>2.4390243902439025E-2</v>
      </c>
      <c r="L54" s="341"/>
    </row>
    <row r="55" spans="1:12" ht="24" x14ac:dyDescent="0.25">
      <c r="A55" s="124" t="s">
        <v>146</v>
      </c>
      <c r="B55" s="340" t="s">
        <v>147</v>
      </c>
      <c r="C55" s="56">
        <v>10000</v>
      </c>
      <c r="D55" s="341">
        <f>+' Qtr-1 April-24 to June-24 '!F143</f>
        <v>0</v>
      </c>
      <c r="E55" s="341">
        <f>+' Qtr- 2 July-24 to Sept-24  (2)'!F142</f>
        <v>5000</v>
      </c>
      <c r="F55" s="341">
        <f>+' Qtr-3 Octo-24 to Dec-24'!F153</f>
        <v>5000</v>
      </c>
      <c r="G55" s="341">
        <f>+' Qtr-4 Jan-25 to march-25'!F150</f>
        <v>0</v>
      </c>
      <c r="H55" s="341">
        <f>SUM(D55:G55)</f>
        <v>10000</v>
      </c>
      <c r="I55" s="342">
        <f>H55/C55</f>
        <v>1</v>
      </c>
      <c r="J55" s="343">
        <f>C55-H55</f>
        <v>0</v>
      </c>
      <c r="K55" s="342">
        <f>J55/C55</f>
        <v>0</v>
      </c>
      <c r="L55" s="341"/>
    </row>
    <row r="56" spans="1:12" x14ac:dyDescent="0.25">
      <c r="A56" s="124" t="s">
        <v>148</v>
      </c>
      <c r="B56" s="340" t="s">
        <v>77</v>
      </c>
      <c r="C56" s="56">
        <v>1000</v>
      </c>
      <c r="D56" s="341">
        <f>+' Qtr-1 April-24 to June-24 '!F146</f>
        <v>495</v>
      </c>
      <c r="E56" s="341">
        <f>+' Qtr- 2 July-24 to Sept-24  (2)'!F145</f>
        <v>0</v>
      </c>
      <c r="F56" s="341">
        <f>+' Qtr-3 Octo-24 to Dec-24'!F156</f>
        <v>525</v>
      </c>
      <c r="G56" s="341">
        <f>+' Qtr-4 Jan-25 to march-25'!F153</f>
        <v>0</v>
      </c>
      <c r="H56" s="341">
        <f>SUM(D56:G56)</f>
        <v>1020</v>
      </c>
      <c r="I56" s="342">
        <f>H56/C56</f>
        <v>1.02</v>
      </c>
      <c r="J56" s="343">
        <f>C56-H56</f>
        <v>-20</v>
      </c>
      <c r="K56" s="342">
        <f>J56/C56</f>
        <v>-0.02</v>
      </c>
      <c r="L56" s="341"/>
    </row>
    <row r="57" spans="1:12" x14ac:dyDescent="0.25">
      <c r="A57" s="94"/>
      <c r="B57" s="355" t="s">
        <v>149</v>
      </c>
      <c r="C57" s="97">
        <f t="shared" ref="C57:J57" si="10">SUM(C53:C56)</f>
        <v>25840</v>
      </c>
      <c r="D57" s="357">
        <f t="shared" si="10"/>
        <v>7655</v>
      </c>
      <c r="E57" s="357">
        <f t="shared" si="10"/>
        <v>5000</v>
      </c>
      <c r="F57" s="357">
        <f t="shared" si="10"/>
        <v>12885</v>
      </c>
      <c r="G57" s="357">
        <f t="shared" si="10"/>
        <v>0</v>
      </c>
      <c r="H57" s="357">
        <f t="shared" si="10"/>
        <v>25540</v>
      </c>
      <c r="I57" s="357">
        <f t="shared" si="10"/>
        <v>3.979609756097561</v>
      </c>
      <c r="J57" s="357">
        <f t="shared" si="10"/>
        <v>300</v>
      </c>
      <c r="K57" s="350">
        <f>J57/C57</f>
        <v>1.1609907120743035E-2</v>
      </c>
      <c r="L57" s="357">
        <f>SUM(L53:L56)</f>
        <v>0</v>
      </c>
    </row>
    <row r="58" spans="1:12" ht="36" x14ac:dyDescent="0.25">
      <c r="A58" s="80">
        <v>2.5</v>
      </c>
      <c r="B58" s="351" t="s">
        <v>150</v>
      </c>
      <c r="C58" s="363"/>
      <c r="D58" s="353"/>
      <c r="E58" s="353"/>
      <c r="F58" s="353"/>
      <c r="G58" s="353"/>
      <c r="H58" s="353"/>
      <c r="I58" s="353"/>
      <c r="J58" s="353"/>
      <c r="K58" s="353"/>
      <c r="L58" s="353"/>
    </row>
    <row r="59" spans="1:12" ht="24" x14ac:dyDescent="0.25">
      <c r="A59" s="124" t="s">
        <v>151</v>
      </c>
      <c r="B59" s="340" t="s">
        <v>152</v>
      </c>
      <c r="C59" s="56">
        <v>0</v>
      </c>
      <c r="D59" s="341">
        <f>+' Qtr-1 April-24 to June-24 '!F152</f>
        <v>0</v>
      </c>
      <c r="E59" s="341">
        <f>+' Qtr- 2 July-24 to Sept-24  (2)'!F150</f>
        <v>0</v>
      </c>
      <c r="F59" s="341">
        <f>+' Qtr-3 Octo-24 to Dec-24'!F162</f>
        <v>0</v>
      </c>
      <c r="G59" s="341">
        <f>+' Qtr-4 Jan-25 to march-25'!F159</f>
        <v>0</v>
      </c>
      <c r="H59" s="341">
        <f>SUM(D59:G59)</f>
        <v>0</v>
      </c>
      <c r="I59" s="342" t="e">
        <f>H59/C59</f>
        <v>#DIV/0!</v>
      </c>
      <c r="J59" s="343">
        <f>C59-H59</f>
        <v>0</v>
      </c>
      <c r="K59" s="342" t="e">
        <f>J59/C59</f>
        <v>#DIV/0!</v>
      </c>
      <c r="L59" s="341"/>
    </row>
    <row r="60" spans="1:12" ht="24" x14ac:dyDescent="0.25">
      <c r="A60" s="124" t="s">
        <v>153</v>
      </c>
      <c r="B60" s="340" t="s">
        <v>154</v>
      </c>
      <c r="C60" s="56">
        <v>14760</v>
      </c>
      <c r="D60" s="341">
        <f>+' Qtr-1 April-24 to June-24 '!F156</f>
        <v>4920</v>
      </c>
      <c r="E60" s="341">
        <f>+' Qtr- 2 July-24 to Sept-24  (2)'!F153</f>
        <v>0</v>
      </c>
      <c r="F60" s="341">
        <f>+' Qtr-3 Octo-24 to Dec-24'!F166</f>
        <v>9240</v>
      </c>
      <c r="G60" s="341">
        <f>+' Qtr-4 Jan-25 to march-25'!F163</f>
        <v>0</v>
      </c>
      <c r="H60" s="341">
        <f>SUM(D60:G60)</f>
        <v>14160</v>
      </c>
      <c r="I60" s="342">
        <f>H60/C60</f>
        <v>0.95934959349593496</v>
      </c>
      <c r="J60" s="343">
        <f>C60-H60</f>
        <v>600</v>
      </c>
      <c r="K60" s="342">
        <f>J60/C60</f>
        <v>4.065040650406504E-2</v>
      </c>
      <c r="L60" s="341"/>
    </row>
    <row r="61" spans="1:12" ht="24" x14ac:dyDescent="0.25">
      <c r="A61" s="124" t="s">
        <v>156</v>
      </c>
      <c r="B61" s="340" t="s">
        <v>157</v>
      </c>
      <c r="C61" s="56">
        <v>15000</v>
      </c>
      <c r="D61" s="341">
        <f>+' Qtr-1 April-24 to June-24 '!F160</f>
        <v>5000</v>
      </c>
      <c r="E61" s="341">
        <f>+' Qtr- 2 July-24 to Sept-24  (2)'!F156</f>
        <v>0</v>
      </c>
      <c r="F61" s="341">
        <f>+' Qtr-3 Octo-24 to Dec-24'!F170</f>
        <v>10000</v>
      </c>
      <c r="G61" s="341">
        <f>+' Qtr-4 Jan-25 to march-25'!F167</f>
        <v>0</v>
      </c>
      <c r="H61" s="341">
        <f>SUM(D61:G61)</f>
        <v>15000</v>
      </c>
      <c r="I61" s="342">
        <f>H61/C61</f>
        <v>1</v>
      </c>
      <c r="J61" s="343">
        <f>C61-H61</f>
        <v>0</v>
      </c>
      <c r="K61" s="342">
        <f>J61/C61</f>
        <v>0</v>
      </c>
      <c r="L61" s="341"/>
    </row>
    <row r="62" spans="1:12" ht="24" x14ac:dyDescent="0.25">
      <c r="A62" s="124" t="s">
        <v>159</v>
      </c>
      <c r="B62" s="340" t="s">
        <v>160</v>
      </c>
      <c r="C62" s="56">
        <v>1500</v>
      </c>
      <c r="D62" s="341">
        <f>+' Qtr-1 April-24 to June-24 '!F163</f>
        <v>525</v>
      </c>
      <c r="E62" s="341">
        <f>+' Qtr- 2 July-24 to Sept-24  (2)'!F159</f>
        <v>0</v>
      </c>
      <c r="F62" s="341">
        <f>+' Qtr-3 Octo-24 to Dec-24'!F174</f>
        <v>990</v>
      </c>
      <c r="G62" s="341">
        <f>+' Qtr-4 Jan-25 to march-25'!F170</f>
        <v>0</v>
      </c>
      <c r="H62" s="341">
        <f>SUM(D62:G62)</f>
        <v>1515</v>
      </c>
      <c r="I62" s="342">
        <f>H62/C62</f>
        <v>1.01</v>
      </c>
      <c r="J62" s="343">
        <f>C62-H62</f>
        <v>-15</v>
      </c>
      <c r="K62" s="342">
        <f>J62/C62</f>
        <v>-0.01</v>
      </c>
      <c r="L62" s="555"/>
    </row>
    <row r="63" spans="1:12" x14ac:dyDescent="0.25">
      <c r="A63" s="94"/>
      <c r="B63" s="355" t="s">
        <v>162</v>
      </c>
      <c r="C63" s="97">
        <f t="shared" ref="C63:J63" si="11">SUM(C59:C62)</f>
        <v>31260</v>
      </c>
      <c r="D63" s="357">
        <f t="shared" si="11"/>
        <v>10445</v>
      </c>
      <c r="E63" s="357">
        <f t="shared" si="11"/>
        <v>0</v>
      </c>
      <c r="F63" s="357">
        <f t="shared" si="11"/>
        <v>20230</v>
      </c>
      <c r="G63" s="357">
        <f t="shared" si="11"/>
        <v>0</v>
      </c>
      <c r="H63" s="357">
        <f t="shared" si="11"/>
        <v>30675</v>
      </c>
      <c r="I63" s="357" t="e">
        <f t="shared" si="11"/>
        <v>#DIV/0!</v>
      </c>
      <c r="J63" s="357">
        <f t="shared" si="11"/>
        <v>585</v>
      </c>
      <c r="K63" s="350">
        <f>J63/C63</f>
        <v>1.8714011516314778E-2</v>
      </c>
      <c r="L63" s="357">
        <f>SUM(L59:L62)</f>
        <v>0</v>
      </c>
    </row>
    <row r="64" spans="1:12" ht="15.75" x14ac:dyDescent="0.25">
      <c r="A64" s="80">
        <v>2.6</v>
      </c>
      <c r="B64" s="351" t="s">
        <v>163</v>
      </c>
      <c r="C64" s="363"/>
      <c r="D64" s="353"/>
      <c r="E64" s="353"/>
      <c r="F64" s="353"/>
      <c r="G64" s="353"/>
      <c r="H64" s="353"/>
      <c r="I64" s="353"/>
      <c r="J64" s="353"/>
      <c r="K64" s="353"/>
      <c r="L64" s="353"/>
    </row>
    <row r="65" spans="1:12" x14ac:dyDescent="0.25">
      <c r="A65" s="124" t="s">
        <v>164</v>
      </c>
      <c r="B65" s="340" t="s">
        <v>165</v>
      </c>
      <c r="C65" s="56">
        <v>7200</v>
      </c>
      <c r="D65" s="341">
        <f>+' Qtr-1 April-24 to June-24 '!F170</f>
        <v>0</v>
      </c>
      <c r="E65" s="341">
        <f>+' Qtr- 2 July-24 to Sept-24  (2)'!F165</f>
        <v>3600</v>
      </c>
      <c r="F65" s="341">
        <f>+' Qtr-3 Octo-24 to Dec-24'!F181</f>
        <v>0</v>
      </c>
      <c r="G65" s="341">
        <f>+' Qtr-4 Jan-25 to march-25'!F177</f>
        <v>0</v>
      </c>
      <c r="H65" s="341">
        <f>SUM(D65:G65)</f>
        <v>3600</v>
      </c>
      <c r="I65" s="342">
        <f>H65/C65</f>
        <v>0.5</v>
      </c>
      <c r="J65" s="343">
        <f>C65-H65</f>
        <v>3600</v>
      </c>
      <c r="K65" s="342">
        <f>J65/C65</f>
        <v>0.5</v>
      </c>
      <c r="L65" s="341"/>
    </row>
    <row r="66" spans="1:12" ht="24" x14ac:dyDescent="0.25">
      <c r="A66" s="124" t="s">
        <v>167</v>
      </c>
      <c r="B66" s="365" t="s">
        <v>168</v>
      </c>
      <c r="C66" s="56">
        <v>174800</v>
      </c>
      <c r="D66" s="341">
        <f>+' Qtr-1 April-24 to June-24 '!F175</f>
        <v>0</v>
      </c>
      <c r="E66" s="341">
        <f>+' Qtr- 2 July-24 to Sept-24  (2)'!F169</f>
        <v>87399</v>
      </c>
      <c r="F66" s="341">
        <f>+' Qtr-3 Octo-24 to Dec-24'!F186</f>
        <v>0</v>
      </c>
      <c r="G66" s="341">
        <f>+' Qtr-4 Jan-25 to march-25'!F182</f>
        <v>0</v>
      </c>
      <c r="H66" s="341">
        <f>SUM(D66:G66)</f>
        <v>87399</v>
      </c>
      <c r="I66" s="342">
        <f>H66/C66</f>
        <v>0.49999427917620137</v>
      </c>
      <c r="J66" s="343">
        <f>C66-H66</f>
        <v>87401</v>
      </c>
      <c r="K66" s="342">
        <f>J66/C66</f>
        <v>0.50000572082379857</v>
      </c>
      <c r="L66" s="341"/>
    </row>
    <row r="67" spans="1:12" x14ac:dyDescent="0.25">
      <c r="A67" s="94"/>
      <c r="B67" s="355" t="s">
        <v>170</v>
      </c>
      <c r="C67" s="97">
        <f t="shared" ref="C67:J67" si="12">SUM(C65:C66)</f>
        <v>182000</v>
      </c>
      <c r="D67" s="357">
        <f t="shared" si="12"/>
        <v>0</v>
      </c>
      <c r="E67" s="357">
        <f t="shared" si="12"/>
        <v>90999</v>
      </c>
      <c r="F67" s="357">
        <f t="shared" si="12"/>
        <v>0</v>
      </c>
      <c r="G67" s="357">
        <f t="shared" si="12"/>
        <v>0</v>
      </c>
      <c r="H67" s="357">
        <f t="shared" si="12"/>
        <v>90999</v>
      </c>
      <c r="I67" s="357">
        <f t="shared" si="12"/>
        <v>0.99999427917620132</v>
      </c>
      <c r="J67" s="357">
        <f t="shared" si="12"/>
        <v>91001</v>
      </c>
      <c r="K67" s="350">
        <f>J67/C67</f>
        <v>0.50000549450549447</v>
      </c>
      <c r="L67" s="357">
        <f>SUM(L65:L66)</f>
        <v>0</v>
      </c>
    </row>
    <row r="68" spans="1:12" ht="15.75" x14ac:dyDescent="0.25">
      <c r="A68" s="80">
        <v>2.7</v>
      </c>
      <c r="B68" s="351" t="s">
        <v>171</v>
      </c>
      <c r="C68" s="366"/>
      <c r="D68" s="353"/>
      <c r="E68" s="353"/>
      <c r="F68" s="353"/>
      <c r="G68" s="353"/>
      <c r="H68" s="353"/>
      <c r="I68" s="353"/>
      <c r="J68" s="353"/>
      <c r="K68" s="353"/>
      <c r="L68" s="353"/>
    </row>
    <row r="69" spans="1:12" ht="36" x14ac:dyDescent="0.25">
      <c r="A69" s="124" t="s">
        <v>172</v>
      </c>
      <c r="B69" s="340" t="s">
        <v>173</v>
      </c>
      <c r="C69" s="56">
        <v>0</v>
      </c>
      <c r="D69" s="341">
        <f>+' Qtr-1 April-24 to June-24 '!F184</f>
        <v>0</v>
      </c>
      <c r="E69" s="341">
        <f>+' Qtr- 2 July-24 to Sept-24  (2)'!F174</f>
        <v>0</v>
      </c>
      <c r="F69" s="341">
        <f>+' Qtr-3 Octo-24 to Dec-24'!F195</f>
        <v>0</v>
      </c>
      <c r="G69" s="341">
        <f>+' Qtr-4 Jan-25 to march-25'!F191</f>
        <v>0</v>
      </c>
      <c r="H69" s="341">
        <f>SUM(D69:G69)</f>
        <v>0</v>
      </c>
      <c r="I69" s="342" t="e">
        <f>H69/C69</f>
        <v>#DIV/0!</v>
      </c>
      <c r="J69" s="343">
        <f>C69-H69</f>
        <v>0</v>
      </c>
      <c r="K69" s="342" t="e">
        <f>J69/C69</f>
        <v>#DIV/0!</v>
      </c>
      <c r="L69" s="341"/>
    </row>
    <row r="70" spans="1:12" x14ac:dyDescent="0.25">
      <c r="A70" s="124" t="s">
        <v>174</v>
      </c>
      <c r="B70" s="340" t="s">
        <v>175</v>
      </c>
      <c r="C70" s="56">
        <v>0</v>
      </c>
      <c r="D70" s="341">
        <f>+' Qtr-1 April-24 to June-24 '!F190</f>
        <v>0</v>
      </c>
      <c r="E70" s="341">
        <f>+' Qtr- 2 July-24 to Sept-24  (2)'!F177</f>
        <v>0</v>
      </c>
      <c r="F70" s="341">
        <f>+' Qtr-3 Octo-24 to Dec-24'!F201</f>
        <v>0</v>
      </c>
      <c r="G70" s="341">
        <f>+' Qtr-4 Jan-25 to march-25'!F197</f>
        <v>0</v>
      </c>
      <c r="H70" s="341">
        <f>SUM(D70:G70)</f>
        <v>0</v>
      </c>
      <c r="I70" s="342" t="e">
        <f>H70/C70</f>
        <v>#DIV/0!</v>
      </c>
      <c r="J70" s="343">
        <f>C70-H70</f>
        <v>0</v>
      </c>
      <c r="K70" s="342" t="e">
        <f>J70/C70</f>
        <v>#DIV/0!</v>
      </c>
      <c r="L70" s="341"/>
    </row>
    <row r="71" spans="1:12" x14ac:dyDescent="0.25">
      <c r="A71" s="94"/>
      <c r="B71" s="355" t="s">
        <v>176</v>
      </c>
      <c r="C71" s="97">
        <f t="shared" ref="C71:J71" si="13">SUM(C69:C70)</f>
        <v>0</v>
      </c>
      <c r="D71" s="97">
        <f t="shared" si="13"/>
        <v>0</v>
      </c>
      <c r="E71" s="97">
        <f t="shared" si="13"/>
        <v>0</v>
      </c>
      <c r="F71" s="97">
        <f t="shared" si="13"/>
        <v>0</v>
      </c>
      <c r="G71" s="97">
        <f t="shared" si="13"/>
        <v>0</v>
      </c>
      <c r="H71" s="97">
        <f t="shared" si="13"/>
        <v>0</v>
      </c>
      <c r="I71" s="97" t="e">
        <f t="shared" si="13"/>
        <v>#DIV/0!</v>
      </c>
      <c r="J71" s="97">
        <f t="shared" si="13"/>
        <v>0</v>
      </c>
      <c r="K71" s="367" t="e">
        <f>J71/C71</f>
        <v>#DIV/0!</v>
      </c>
      <c r="L71" s="97">
        <f>SUM(L69:L70)</f>
        <v>0</v>
      </c>
    </row>
    <row r="72" spans="1:12" ht="15.75" x14ac:dyDescent="0.25">
      <c r="A72" s="80">
        <v>2.8</v>
      </c>
      <c r="B72" s="351" t="s">
        <v>182</v>
      </c>
      <c r="C72" s="363"/>
      <c r="D72" s="353"/>
      <c r="E72" s="353"/>
      <c r="F72" s="353"/>
      <c r="G72" s="353"/>
      <c r="H72" s="353"/>
      <c r="I72" s="353"/>
      <c r="J72" s="353"/>
      <c r="K72" s="353"/>
      <c r="L72" s="353"/>
    </row>
    <row r="73" spans="1:12" ht="51" x14ac:dyDescent="0.25">
      <c r="A73" s="124" t="s">
        <v>183</v>
      </c>
      <c r="B73" s="51" t="s">
        <v>189</v>
      </c>
      <c r="C73" s="56">
        <v>4800</v>
      </c>
      <c r="D73" s="341">
        <f>+' Qtr-1 April-24 to June-24 '!F196</f>
        <v>4800</v>
      </c>
      <c r="E73" s="341">
        <f>+' Qtr- 2 July-24 to Sept-24  (2)'!F182</f>
        <v>0</v>
      </c>
      <c r="F73" s="341">
        <f>+' Qtr-3 Octo-24 to Dec-24'!F207</f>
        <v>0</v>
      </c>
      <c r="G73" s="341">
        <f>+' Qtr-4 Jan-25 to march-25'!F203</f>
        <v>0</v>
      </c>
      <c r="H73" s="341">
        <f>SUM(D73:G73)</f>
        <v>4800</v>
      </c>
      <c r="I73" s="342">
        <f>H73/C73</f>
        <v>1</v>
      </c>
      <c r="J73" s="343">
        <f>C73-H73</f>
        <v>0</v>
      </c>
      <c r="K73" s="342">
        <f>J73/C73</f>
        <v>0</v>
      </c>
      <c r="L73" s="341"/>
    </row>
    <row r="74" spans="1:12" x14ac:dyDescent="0.25">
      <c r="A74" s="124" t="s">
        <v>184</v>
      </c>
      <c r="B74" s="102" t="s">
        <v>190</v>
      </c>
      <c r="C74" s="56">
        <v>1500</v>
      </c>
      <c r="D74" s="341">
        <f>+' Qtr-1 April-24 to June-24 '!F202</f>
        <v>0</v>
      </c>
      <c r="E74" s="341">
        <f>+' Qtr- 2 July-24 to Sept-24  (2)'!F185</f>
        <v>0</v>
      </c>
      <c r="F74" s="341">
        <f>+' Qtr-3 Octo-24 to Dec-24'!F213</f>
        <v>0</v>
      </c>
      <c r="G74" s="341">
        <f>+' Qtr-4 Jan-25 to march-25'!F209</f>
        <v>0</v>
      </c>
      <c r="H74" s="341">
        <f>SUM(D74:G74)</f>
        <v>0</v>
      </c>
      <c r="I74" s="342">
        <f>H74/C74</f>
        <v>0</v>
      </c>
      <c r="J74" s="343">
        <f>C74-H74</f>
        <v>1500</v>
      </c>
      <c r="K74" s="342">
        <f>J74/C74</f>
        <v>1</v>
      </c>
      <c r="L74" s="341"/>
    </row>
    <row r="75" spans="1:12" x14ac:dyDescent="0.25">
      <c r="A75" s="94"/>
      <c r="B75" s="355" t="s">
        <v>181</v>
      </c>
      <c r="C75" s="97">
        <f t="shared" ref="C75:J75" si="14">SUM(C73:C74)</f>
        <v>6300</v>
      </c>
      <c r="D75" s="357">
        <f t="shared" si="14"/>
        <v>4800</v>
      </c>
      <c r="E75" s="357">
        <f t="shared" si="14"/>
        <v>0</v>
      </c>
      <c r="F75" s="357">
        <f t="shared" si="14"/>
        <v>0</v>
      </c>
      <c r="G75" s="357">
        <f t="shared" si="14"/>
        <v>0</v>
      </c>
      <c r="H75" s="357">
        <f t="shared" si="14"/>
        <v>4800</v>
      </c>
      <c r="I75" s="357">
        <f t="shared" si="14"/>
        <v>1</v>
      </c>
      <c r="J75" s="357">
        <f t="shared" si="14"/>
        <v>1500</v>
      </c>
      <c r="K75" s="350">
        <f>J75/C75</f>
        <v>0.23809523809523808</v>
      </c>
      <c r="L75" s="357">
        <f>SUM(L73:L74)</f>
        <v>0</v>
      </c>
    </row>
    <row r="76" spans="1:12" ht="15.75" x14ac:dyDescent="0.25">
      <c r="A76" s="144">
        <v>2.9</v>
      </c>
      <c r="B76" s="351" t="s">
        <v>191</v>
      </c>
      <c r="C76" s="363"/>
      <c r="D76" s="353"/>
      <c r="E76" s="353"/>
      <c r="F76" s="353"/>
      <c r="G76" s="353"/>
      <c r="H76" s="353"/>
      <c r="I76" s="353"/>
      <c r="J76" s="353"/>
      <c r="K76" s="353"/>
      <c r="L76" s="353"/>
    </row>
    <row r="77" spans="1:12" ht="24" x14ac:dyDescent="0.25">
      <c r="A77" s="124" t="s">
        <v>192</v>
      </c>
      <c r="B77" s="340" t="s">
        <v>193</v>
      </c>
      <c r="C77" s="56">
        <v>0</v>
      </c>
      <c r="D77" s="341">
        <f>+' Qtr-1 April-24 to June-24 '!F207</f>
        <v>0</v>
      </c>
      <c r="E77" s="341">
        <f>+' Qtr- 2 July-24 to Sept-24  (2)'!F190</f>
        <v>0</v>
      </c>
      <c r="F77" s="341">
        <f>+' Qtr-3 Octo-24 to Dec-24'!F218</f>
        <v>0</v>
      </c>
      <c r="G77" s="341">
        <f>+' Qtr-4 Jan-25 to march-25'!F214</f>
        <v>0</v>
      </c>
      <c r="H77" s="341">
        <f>SUM(D77:G77)</f>
        <v>0</v>
      </c>
      <c r="I77" s="342" t="e">
        <f>H77/C77</f>
        <v>#DIV/0!</v>
      </c>
      <c r="J77" s="343">
        <f>C77-H77</f>
        <v>0</v>
      </c>
      <c r="K77" s="342" t="e">
        <f>J77/C77</f>
        <v>#DIV/0!</v>
      </c>
      <c r="L77" s="341"/>
    </row>
    <row r="78" spans="1:12" x14ac:dyDescent="0.25">
      <c r="A78" s="94"/>
      <c r="B78" s="355" t="s">
        <v>196</v>
      </c>
      <c r="C78" s="97">
        <f t="shared" ref="C78:J78" si="15">C77</f>
        <v>0</v>
      </c>
      <c r="D78" s="357">
        <f t="shared" si="15"/>
        <v>0</v>
      </c>
      <c r="E78" s="357">
        <f t="shared" si="15"/>
        <v>0</v>
      </c>
      <c r="F78" s="357">
        <f t="shared" si="15"/>
        <v>0</v>
      </c>
      <c r="G78" s="357">
        <f t="shared" si="15"/>
        <v>0</v>
      </c>
      <c r="H78" s="357">
        <f t="shared" si="15"/>
        <v>0</v>
      </c>
      <c r="I78" s="357" t="e">
        <f t="shared" si="15"/>
        <v>#DIV/0!</v>
      </c>
      <c r="J78" s="357">
        <f t="shared" si="15"/>
        <v>0</v>
      </c>
      <c r="K78" s="350" t="e">
        <f>J78/C78</f>
        <v>#DIV/0!</v>
      </c>
      <c r="L78" s="357">
        <f>L77</f>
        <v>0</v>
      </c>
    </row>
    <row r="79" spans="1:12" ht="15.75" x14ac:dyDescent="0.25">
      <c r="A79" s="150">
        <v>2.1</v>
      </c>
      <c r="B79" s="351" t="s">
        <v>197</v>
      </c>
      <c r="C79" s="363"/>
      <c r="D79" s="353"/>
      <c r="E79" s="353"/>
      <c r="F79" s="353"/>
      <c r="G79" s="353"/>
      <c r="H79" s="353"/>
      <c r="I79" s="353"/>
      <c r="J79" s="353"/>
      <c r="K79" s="353"/>
      <c r="L79" s="353"/>
    </row>
    <row r="80" spans="1:12" ht="24" x14ac:dyDescent="0.25">
      <c r="A80" s="124" t="s">
        <v>198</v>
      </c>
      <c r="B80" s="340" t="s">
        <v>199</v>
      </c>
      <c r="C80" s="56">
        <v>0</v>
      </c>
      <c r="D80" s="341">
        <f>+' Qtr-1 April-24 to June-24 '!F212</f>
        <v>0</v>
      </c>
      <c r="E80" s="341">
        <f>+' Qtr- 2 July-24 to Sept-24  (2)'!F195</f>
        <v>0</v>
      </c>
      <c r="F80" s="341">
        <f>+' Qtr-3 Octo-24 to Dec-24'!F223</f>
        <v>0</v>
      </c>
      <c r="G80" s="341">
        <f>+' Qtr-4 Jan-25 to march-25'!F219</f>
        <v>0</v>
      </c>
      <c r="H80" s="341">
        <f>SUM(D80:G80)</f>
        <v>0</v>
      </c>
      <c r="I80" s="342" t="e">
        <f>H80/C80</f>
        <v>#DIV/0!</v>
      </c>
      <c r="J80" s="343">
        <f>C80-H80</f>
        <v>0</v>
      </c>
      <c r="K80" s="342" t="e">
        <f>J80/C80</f>
        <v>#DIV/0!</v>
      </c>
      <c r="L80" s="341"/>
    </row>
    <row r="81" spans="1:12" x14ac:dyDescent="0.25">
      <c r="A81" s="124" t="s">
        <v>194</v>
      </c>
      <c r="B81" s="340" t="s">
        <v>200</v>
      </c>
      <c r="C81" s="56">
        <v>0</v>
      </c>
      <c r="D81" s="341">
        <f>+' Qtr-1 April-24 to June-24 '!F215</f>
        <v>0</v>
      </c>
      <c r="E81" s="341">
        <f>+' Qtr- 2 July-24 to Sept-24  (2)'!F198</f>
        <v>0</v>
      </c>
      <c r="F81" s="341">
        <f>+' Qtr-3 Octo-24 to Dec-24'!F226</f>
        <v>0</v>
      </c>
      <c r="G81" s="341">
        <f>+' Qtr-4 Jan-25 to march-25'!F222</f>
        <v>0</v>
      </c>
      <c r="H81" s="341">
        <f>SUM(D81:G81)</f>
        <v>0</v>
      </c>
      <c r="I81" s="342" t="e">
        <f>H81/C81</f>
        <v>#DIV/0!</v>
      </c>
      <c r="J81" s="343">
        <f>C81-H81</f>
        <v>0</v>
      </c>
      <c r="K81" s="342" t="e">
        <f>J81/C81</f>
        <v>#DIV/0!</v>
      </c>
      <c r="L81" s="341"/>
    </row>
    <row r="82" spans="1:12" x14ac:dyDescent="0.25">
      <c r="A82" s="94"/>
      <c r="B82" s="355" t="s">
        <v>196</v>
      </c>
      <c r="C82" s="97">
        <f t="shared" ref="C82:J82" si="16">SUM(C80:C81)</f>
        <v>0</v>
      </c>
      <c r="D82" s="357">
        <f t="shared" si="16"/>
        <v>0</v>
      </c>
      <c r="E82" s="357">
        <f t="shared" si="16"/>
        <v>0</v>
      </c>
      <c r="F82" s="357">
        <f t="shared" si="16"/>
        <v>0</v>
      </c>
      <c r="G82" s="357">
        <f t="shared" si="16"/>
        <v>0</v>
      </c>
      <c r="H82" s="357">
        <f t="shared" si="16"/>
        <v>0</v>
      </c>
      <c r="I82" s="357" t="e">
        <f t="shared" si="16"/>
        <v>#DIV/0!</v>
      </c>
      <c r="J82" s="357">
        <f t="shared" si="16"/>
        <v>0</v>
      </c>
      <c r="K82" s="350" t="e">
        <f>J82/C82</f>
        <v>#DIV/0!</v>
      </c>
      <c r="L82" s="357">
        <f>SUM(L80:L81)</f>
        <v>0</v>
      </c>
    </row>
    <row r="83" spans="1:12" ht="24" x14ac:dyDescent="0.25">
      <c r="A83" s="80">
        <v>2.11</v>
      </c>
      <c r="B83" s="351" t="s">
        <v>202</v>
      </c>
      <c r="C83" s="366"/>
      <c r="D83" s="353"/>
      <c r="E83" s="353"/>
      <c r="F83" s="353"/>
      <c r="G83" s="353"/>
      <c r="H83" s="353"/>
      <c r="I83" s="353"/>
      <c r="J83" s="353"/>
      <c r="K83" s="353"/>
      <c r="L83" s="353"/>
    </row>
    <row r="84" spans="1:12" ht="48" x14ac:dyDescent="0.25">
      <c r="A84" s="124" t="s">
        <v>203</v>
      </c>
      <c r="B84" s="340" t="s">
        <v>204</v>
      </c>
      <c r="C84" s="56">
        <v>0</v>
      </c>
      <c r="D84" s="341">
        <f>+' Qtr-1 April-24 to June-24 '!F218</f>
        <v>0</v>
      </c>
      <c r="E84" s="341">
        <f>+' Qtr- 2 July-24 to Sept-24  (2)'!F203</f>
        <v>0</v>
      </c>
      <c r="F84" s="341">
        <f>+' Qtr-3 Octo-24 to Dec-24'!F231</f>
        <v>0</v>
      </c>
      <c r="G84" s="341">
        <f>+' Qtr-4 Jan-25 to march-25'!F227</f>
        <v>0</v>
      </c>
      <c r="H84" s="341">
        <f>SUM(D84:G84)</f>
        <v>0</v>
      </c>
      <c r="I84" s="342"/>
      <c r="J84" s="341"/>
      <c r="K84" s="342"/>
      <c r="L84" s="341"/>
    </row>
    <row r="85" spans="1:12" x14ac:dyDescent="0.25">
      <c r="A85" s="124" t="s">
        <v>206</v>
      </c>
      <c r="B85" s="340" t="s">
        <v>207</v>
      </c>
      <c r="C85" s="56">
        <v>0</v>
      </c>
      <c r="D85" s="341">
        <f>+' Qtr-1 April-24 to June-24 '!F219</f>
        <v>0</v>
      </c>
      <c r="E85" s="341">
        <f>+' Qtr- 2 July-24 to Sept-24  (2)'!F206</f>
        <v>0</v>
      </c>
      <c r="F85" s="341">
        <f>+' Qtr-3 Octo-24 to Dec-24'!F234</f>
        <v>0</v>
      </c>
      <c r="G85" s="341">
        <f>+' Qtr-4 Jan-25 to march-25'!F230</f>
        <v>0</v>
      </c>
      <c r="H85" s="341">
        <f>SUM(D85:G85)</f>
        <v>0</v>
      </c>
      <c r="I85" s="342"/>
      <c r="J85" s="341"/>
      <c r="K85" s="342"/>
      <c r="L85" s="341"/>
    </row>
    <row r="86" spans="1:12" x14ac:dyDescent="0.25">
      <c r="A86" s="94"/>
      <c r="B86" s="355" t="s">
        <v>208</v>
      </c>
      <c r="C86" s="97">
        <f t="shared" ref="C86:J86" si="17">SUM(C84:C85)</f>
        <v>0</v>
      </c>
      <c r="D86" s="357">
        <f t="shared" si="17"/>
        <v>0</v>
      </c>
      <c r="E86" s="357">
        <f t="shared" si="17"/>
        <v>0</v>
      </c>
      <c r="F86" s="357">
        <f t="shared" si="17"/>
        <v>0</v>
      </c>
      <c r="G86" s="357">
        <f t="shared" si="17"/>
        <v>0</v>
      </c>
      <c r="H86" s="357">
        <f t="shared" si="17"/>
        <v>0</v>
      </c>
      <c r="I86" s="357">
        <f t="shared" si="17"/>
        <v>0</v>
      </c>
      <c r="J86" s="357">
        <f t="shared" si="17"/>
        <v>0</v>
      </c>
      <c r="K86" s="350"/>
      <c r="L86" s="357">
        <f>SUM(L84:L85)</f>
        <v>0</v>
      </c>
    </row>
    <row r="87" spans="1:12" ht="15.75" x14ac:dyDescent="0.25">
      <c r="A87" s="80">
        <v>2.12</v>
      </c>
      <c r="B87" s="368" t="s">
        <v>209</v>
      </c>
      <c r="C87" s="363"/>
      <c r="D87" s="353"/>
      <c r="E87" s="353"/>
      <c r="F87" s="353"/>
      <c r="G87" s="353"/>
      <c r="H87" s="353"/>
      <c r="I87" s="353"/>
      <c r="J87" s="353"/>
      <c r="K87" s="353"/>
      <c r="L87" s="353"/>
    </row>
    <row r="88" spans="1:12" ht="24" x14ac:dyDescent="0.25">
      <c r="A88" s="152" t="s">
        <v>210</v>
      </c>
      <c r="B88" s="340" t="s">
        <v>211</v>
      </c>
      <c r="C88" s="56"/>
      <c r="D88" s="341">
        <f>+' Qtr-1 April-24 to June-24 '!F223</f>
        <v>0</v>
      </c>
      <c r="E88" s="341">
        <f>+' Qtr- 2 July-24 to Sept-24  (2)'!F210</f>
        <v>0</v>
      </c>
      <c r="F88" s="341">
        <f>+' Qtr-3 Octo-24 to Dec-24'!F239</f>
        <v>0</v>
      </c>
      <c r="G88" s="341">
        <f>+' Qtr-4 Jan-25 to march-25'!F233</f>
        <v>0</v>
      </c>
      <c r="H88" s="341">
        <f>SUM(D88:G88)</f>
        <v>0</v>
      </c>
      <c r="I88" s="341"/>
      <c r="J88" s="341"/>
      <c r="K88" s="342"/>
      <c r="L88" s="341"/>
    </row>
    <row r="89" spans="1:12" x14ac:dyDescent="0.25">
      <c r="A89" s="94"/>
      <c r="B89" s="355" t="s">
        <v>212</v>
      </c>
      <c r="C89" s="97">
        <f t="shared" ref="C89:J89" si="18">C88</f>
        <v>0</v>
      </c>
      <c r="D89" s="357">
        <f t="shared" si="18"/>
        <v>0</v>
      </c>
      <c r="E89" s="357">
        <f t="shared" si="18"/>
        <v>0</v>
      </c>
      <c r="F89" s="357">
        <f t="shared" si="18"/>
        <v>0</v>
      </c>
      <c r="G89" s="357">
        <f t="shared" si="18"/>
        <v>0</v>
      </c>
      <c r="H89" s="357">
        <f t="shared" si="18"/>
        <v>0</v>
      </c>
      <c r="I89" s="357">
        <f t="shared" si="18"/>
        <v>0</v>
      </c>
      <c r="J89" s="357">
        <f t="shared" si="18"/>
        <v>0</v>
      </c>
      <c r="K89" s="350"/>
      <c r="L89" s="357">
        <f>L88</f>
        <v>0</v>
      </c>
    </row>
    <row r="90" spans="1:12" x14ac:dyDescent="0.25">
      <c r="A90" s="359"/>
      <c r="B90" s="360" t="s">
        <v>213</v>
      </c>
      <c r="C90" s="98">
        <f t="shared" ref="C90:J90" si="19">SUM(C89,C86,C82,C78,C75,C71,C67,C63,C57,C51,C45,C39)</f>
        <v>343400</v>
      </c>
      <c r="D90" s="369">
        <f t="shared" si="19"/>
        <v>35335</v>
      </c>
      <c r="E90" s="369">
        <f t="shared" si="19"/>
        <v>131221</v>
      </c>
      <c r="F90" s="369">
        <f t="shared" si="19"/>
        <v>45220</v>
      </c>
      <c r="G90" s="369">
        <f t="shared" si="19"/>
        <v>0</v>
      </c>
      <c r="H90" s="369">
        <f t="shared" si="19"/>
        <v>211776</v>
      </c>
      <c r="I90" s="369" t="e">
        <f t="shared" si="19"/>
        <v>#DIV/0!</v>
      </c>
      <c r="J90" s="369">
        <f t="shared" si="19"/>
        <v>131624</v>
      </c>
      <c r="K90" s="361">
        <f>J90/C90</f>
        <v>0.38329644729178802</v>
      </c>
      <c r="L90" s="369">
        <f>SUM(L89,L86,L82,L78,L75,L71,L67,L63,L57,L51,L45,L39)</f>
        <v>0</v>
      </c>
    </row>
    <row r="91" spans="1:12" x14ac:dyDescent="0.25">
      <c r="A91" s="116"/>
      <c r="B91" s="362" t="s">
        <v>214</v>
      </c>
      <c r="C91" s="119"/>
      <c r="D91" s="370"/>
      <c r="E91" s="370"/>
      <c r="F91" s="370"/>
      <c r="G91" s="370"/>
      <c r="H91" s="370"/>
      <c r="I91" s="370"/>
      <c r="J91" s="370"/>
      <c r="K91" s="370"/>
      <c r="L91" s="370"/>
    </row>
    <row r="92" spans="1:12" ht="36" x14ac:dyDescent="0.25">
      <c r="A92" s="80">
        <v>3.1</v>
      </c>
      <c r="B92" s="351" t="s">
        <v>215</v>
      </c>
      <c r="C92" s="371"/>
      <c r="D92" s="358"/>
      <c r="E92" s="358"/>
      <c r="F92" s="358"/>
      <c r="G92" s="358"/>
      <c r="H92" s="358"/>
      <c r="I92" s="358"/>
      <c r="J92" s="358"/>
      <c r="K92" s="358"/>
      <c r="L92" s="358"/>
    </row>
    <row r="93" spans="1:12" x14ac:dyDescent="0.25">
      <c r="A93" s="157" t="s">
        <v>216</v>
      </c>
      <c r="B93" s="340" t="s">
        <v>217</v>
      </c>
      <c r="C93" s="56">
        <v>5000</v>
      </c>
      <c r="D93" s="341">
        <f>+' Qtr-1 April-24 to June-24 '!F232</f>
        <v>2490</v>
      </c>
      <c r="E93" s="341">
        <f>+' Qtr- 2 July-24 to Sept-24  (2)'!F216</f>
        <v>0</v>
      </c>
      <c r="F93" s="341">
        <f>+' Qtr-3 Octo-24 to Dec-24'!F249</f>
        <v>0</v>
      </c>
      <c r="G93" s="341">
        <f>+' Qtr-4 Jan-25 to march-25'!F243</f>
        <v>0</v>
      </c>
      <c r="H93" s="341">
        <f>SUM(D93:G93)</f>
        <v>2490</v>
      </c>
      <c r="I93" s="342">
        <f>H93/C93</f>
        <v>0.498</v>
      </c>
      <c r="J93" s="343">
        <f>C93-H93</f>
        <v>2510</v>
      </c>
      <c r="K93" s="342">
        <f>J93/C93</f>
        <v>0.502</v>
      </c>
      <c r="L93" s="341"/>
    </row>
    <row r="94" spans="1:12" x14ac:dyDescent="0.25">
      <c r="A94" s="157" t="s">
        <v>218</v>
      </c>
      <c r="B94" s="340" t="s">
        <v>219</v>
      </c>
      <c r="C94" s="56">
        <v>7000</v>
      </c>
      <c r="D94" s="341">
        <f>+' Qtr-1 April-24 to June-24 '!F237</f>
        <v>4920</v>
      </c>
      <c r="E94" s="341">
        <f>+' Qtr- 2 July-24 to Sept-24  (2)'!F219</f>
        <v>0</v>
      </c>
      <c r="F94" s="341">
        <f>+' Qtr-3 Octo-24 to Dec-24'!F254</f>
        <v>0</v>
      </c>
      <c r="G94" s="341">
        <f>+' Qtr-4 Jan-25 to march-25'!F248</f>
        <v>0</v>
      </c>
      <c r="H94" s="341">
        <f>SUM(D94:G94)</f>
        <v>4920</v>
      </c>
      <c r="I94" s="342">
        <f>H94/C94</f>
        <v>0.70285714285714285</v>
      </c>
      <c r="J94" s="343">
        <f>C94-H94</f>
        <v>2080</v>
      </c>
      <c r="K94" s="342">
        <f>J94/C94</f>
        <v>0.29714285714285715</v>
      </c>
      <c r="L94" s="341"/>
    </row>
    <row r="95" spans="1:12" ht="24" x14ac:dyDescent="0.25">
      <c r="A95" s="157" t="s">
        <v>220</v>
      </c>
      <c r="B95" s="340" t="s">
        <v>221</v>
      </c>
      <c r="C95" s="56">
        <v>15000</v>
      </c>
      <c r="D95" s="341">
        <f>+' Qtr-1 April-24 to June-24 '!F244</f>
        <v>5000</v>
      </c>
      <c r="E95" s="341">
        <f>+' Qtr- 2 July-24 to Sept-24  (2)'!F222</f>
        <v>0</v>
      </c>
      <c r="F95" s="341">
        <f>+' Qtr-3 Octo-24 to Dec-24'!F261</f>
        <v>0</v>
      </c>
      <c r="G95" s="341">
        <f>+' Qtr-4 Jan-25 to march-25'!F255</f>
        <v>0</v>
      </c>
      <c r="H95" s="341">
        <f>SUM(D95:G95)</f>
        <v>5000</v>
      </c>
      <c r="I95" s="342">
        <f>H95/C95</f>
        <v>0.33333333333333331</v>
      </c>
      <c r="J95" s="343">
        <f>C95-H95</f>
        <v>10000</v>
      </c>
      <c r="K95" s="342">
        <f>J95/C95</f>
        <v>0.66666666666666663</v>
      </c>
      <c r="L95" s="341"/>
    </row>
    <row r="96" spans="1:12" x14ac:dyDescent="0.25">
      <c r="A96" s="157" t="s">
        <v>223</v>
      </c>
      <c r="B96" s="340" t="s">
        <v>224</v>
      </c>
      <c r="C96" s="56">
        <v>2000</v>
      </c>
      <c r="D96" s="341">
        <f>+' Qtr-1 April-24 to June-24 '!F250</f>
        <v>1015</v>
      </c>
      <c r="E96" s="341">
        <f>+' Qtr- 2 July-24 to Sept-24  (2)'!F225</f>
        <v>0</v>
      </c>
      <c r="F96" s="341">
        <f>+' Qtr-3 Octo-24 to Dec-24'!F267</f>
        <v>0</v>
      </c>
      <c r="G96" s="341">
        <f>+' Qtr-4 Jan-25 to march-25'!F261</f>
        <v>0</v>
      </c>
      <c r="H96" s="341">
        <f>SUM(D96:G96)</f>
        <v>1015</v>
      </c>
      <c r="I96" s="342">
        <f>H96/C96</f>
        <v>0.50749999999999995</v>
      </c>
      <c r="J96" s="343">
        <f>C96-H96</f>
        <v>985</v>
      </c>
      <c r="K96" s="342">
        <f>J96/C96</f>
        <v>0.49249999999999999</v>
      </c>
      <c r="L96" s="341"/>
    </row>
    <row r="97" spans="1:12" x14ac:dyDescent="0.25">
      <c r="A97" s="161"/>
      <c r="B97" s="355" t="s">
        <v>225</v>
      </c>
      <c r="C97" s="75">
        <f t="shared" ref="C97:J97" si="20">SUM(C93:C96)</f>
        <v>29000</v>
      </c>
      <c r="D97" s="372">
        <f t="shared" si="20"/>
        <v>13425</v>
      </c>
      <c r="E97" s="372">
        <f t="shared" si="20"/>
        <v>0</v>
      </c>
      <c r="F97" s="372">
        <f t="shared" si="20"/>
        <v>0</v>
      </c>
      <c r="G97" s="372">
        <f t="shared" si="20"/>
        <v>0</v>
      </c>
      <c r="H97" s="372">
        <f t="shared" si="20"/>
        <v>13425</v>
      </c>
      <c r="I97" s="372">
        <f t="shared" si="20"/>
        <v>2.0416904761904759</v>
      </c>
      <c r="J97" s="372">
        <f t="shared" si="20"/>
        <v>15575</v>
      </c>
      <c r="K97" s="350">
        <f>J97/C97</f>
        <v>0.53706896551724137</v>
      </c>
      <c r="L97" s="372">
        <f>SUM(L93:L96)</f>
        <v>0</v>
      </c>
    </row>
    <row r="98" spans="1:12" ht="15.75" x14ac:dyDescent="0.25">
      <c r="A98" s="80">
        <v>3.2</v>
      </c>
      <c r="B98" s="373" t="s">
        <v>226</v>
      </c>
      <c r="C98" s="358"/>
      <c r="D98" s="353"/>
      <c r="E98" s="353"/>
      <c r="F98" s="353"/>
      <c r="G98" s="353"/>
      <c r="H98" s="353"/>
      <c r="I98" s="353"/>
      <c r="J98" s="353"/>
      <c r="K98" s="353"/>
      <c r="L98" s="353"/>
    </row>
    <row r="99" spans="1:12" ht="24" x14ac:dyDescent="0.25">
      <c r="A99" s="90" t="s">
        <v>227</v>
      </c>
      <c r="B99" s="340" t="s">
        <v>228</v>
      </c>
      <c r="C99" s="56">
        <v>24000</v>
      </c>
      <c r="D99" s="341">
        <f>+' Qtr-1 April-24 to June-24 '!F258</f>
        <v>0</v>
      </c>
      <c r="E99" s="341">
        <f>+' Qtr- 2 July-24 to Sept-24  (2)'!F230</f>
        <v>0</v>
      </c>
      <c r="F99" s="341">
        <f>+' Qtr-3 Octo-24 to Dec-24'!F275</f>
        <v>11990</v>
      </c>
      <c r="G99" s="341">
        <f>+' Qtr-4 Jan-25 to march-25'!F269</f>
        <v>0</v>
      </c>
      <c r="H99" s="341">
        <f>SUM(D99:G99)</f>
        <v>11990</v>
      </c>
      <c r="I99" s="342">
        <f>H99/C99</f>
        <v>0.49958333333333332</v>
      </c>
      <c r="J99" s="343">
        <f>C99-H99</f>
        <v>12010</v>
      </c>
      <c r="K99" s="342">
        <f>J99/C99</f>
        <v>0.50041666666666662</v>
      </c>
      <c r="L99" s="555"/>
    </row>
    <row r="100" spans="1:12" x14ac:dyDescent="0.25">
      <c r="A100" s="90" t="s">
        <v>229</v>
      </c>
      <c r="B100" s="340" t="s">
        <v>230</v>
      </c>
      <c r="C100" s="56">
        <v>4000</v>
      </c>
      <c r="D100" s="341">
        <f>+' Qtr-1 April-24 to June-24 '!F263</f>
        <v>0</v>
      </c>
      <c r="E100" s="341">
        <f>+' Qtr- 2 July-24 to Sept-24  (2)'!F233</f>
        <v>0</v>
      </c>
      <c r="F100" s="341">
        <f>+' Qtr-3 Octo-24 to Dec-24'!F280</f>
        <v>0</v>
      </c>
      <c r="G100" s="341">
        <f>+' Qtr-4 Jan-25 to march-25'!F274</f>
        <v>0</v>
      </c>
      <c r="H100" s="341">
        <f>SUM(D100:G100)</f>
        <v>0</v>
      </c>
      <c r="I100" s="342">
        <f>H100/C100</f>
        <v>0</v>
      </c>
      <c r="J100" s="343">
        <f>C100-H100</f>
        <v>4000</v>
      </c>
      <c r="K100" s="342">
        <f>J100/C100</f>
        <v>1</v>
      </c>
      <c r="L100" s="555"/>
    </row>
    <row r="101" spans="1:12" x14ac:dyDescent="0.25">
      <c r="A101" s="164"/>
      <c r="B101" s="355" t="s">
        <v>231</v>
      </c>
      <c r="C101" s="165">
        <f t="shared" ref="C101:J101" si="21">SUM(C99:C100)</f>
        <v>28000</v>
      </c>
      <c r="D101" s="374">
        <f t="shared" si="21"/>
        <v>0</v>
      </c>
      <c r="E101" s="374">
        <f t="shared" si="21"/>
        <v>0</v>
      </c>
      <c r="F101" s="374">
        <f t="shared" si="21"/>
        <v>11990</v>
      </c>
      <c r="G101" s="374">
        <f t="shared" si="21"/>
        <v>0</v>
      </c>
      <c r="H101" s="374">
        <f t="shared" si="21"/>
        <v>11990</v>
      </c>
      <c r="I101" s="374">
        <f t="shared" si="21"/>
        <v>0.49958333333333332</v>
      </c>
      <c r="J101" s="374">
        <f t="shared" si="21"/>
        <v>16010</v>
      </c>
      <c r="K101" s="350">
        <f>J101/C101</f>
        <v>0.57178571428571423</v>
      </c>
      <c r="L101" s="374">
        <f>SUM(L99:L100)</f>
        <v>0</v>
      </c>
    </row>
    <row r="102" spans="1:12" ht="24" x14ac:dyDescent="0.25">
      <c r="A102" s="80">
        <v>3.3</v>
      </c>
      <c r="B102" s="373" t="s">
        <v>232</v>
      </c>
      <c r="C102" s="358"/>
      <c r="D102" s="353"/>
      <c r="E102" s="353"/>
      <c r="F102" s="353"/>
      <c r="G102" s="353"/>
      <c r="H102" s="353"/>
      <c r="I102" s="353"/>
      <c r="J102" s="353"/>
      <c r="K102" s="353"/>
      <c r="L102" s="353"/>
    </row>
    <row r="103" spans="1:12" x14ac:dyDescent="0.25">
      <c r="A103" s="90" t="s">
        <v>233</v>
      </c>
      <c r="B103" s="340" t="s">
        <v>234</v>
      </c>
      <c r="C103" s="56">
        <v>4000</v>
      </c>
      <c r="D103" s="341">
        <f>+' Qtr-1 April-24 to June-24 '!F269</f>
        <v>1960</v>
      </c>
      <c r="E103" s="341">
        <f>+' Qtr- 2 July-24 to Sept-24  (2)'!F238</f>
        <v>0</v>
      </c>
      <c r="F103" s="341">
        <f>+' Qtr-3 Octo-24 to Dec-24'!F285</f>
        <v>0</v>
      </c>
      <c r="G103" s="341">
        <f>+' Qtr-4 Jan-25 to march-25'!F279</f>
        <v>0</v>
      </c>
      <c r="H103" s="341">
        <f>SUM(D103:G103)</f>
        <v>1960</v>
      </c>
      <c r="I103" s="342">
        <f>H103/C103</f>
        <v>0.49</v>
      </c>
      <c r="J103" s="343">
        <f>C103-H103</f>
        <v>2040</v>
      </c>
      <c r="K103" s="342">
        <f t="shared" ref="K103:K108" si="22">J103/C103</f>
        <v>0.51</v>
      </c>
      <c r="L103" s="341"/>
    </row>
    <row r="104" spans="1:12" ht="24" x14ac:dyDescent="0.25">
      <c r="A104" s="90" t="s">
        <v>235</v>
      </c>
      <c r="B104" s="340" t="s">
        <v>236</v>
      </c>
      <c r="C104" s="56">
        <v>9840</v>
      </c>
      <c r="D104" s="341">
        <f>+' Qtr-1 April-24 to June-24 '!F273</f>
        <v>4440</v>
      </c>
      <c r="E104" s="341">
        <f>+' Qtr- 2 July-24 to Sept-24  (2)'!F241</f>
        <v>0</v>
      </c>
      <c r="F104" s="341">
        <f>+' Qtr-3 Octo-24 to Dec-24'!F289</f>
        <v>0</v>
      </c>
      <c r="G104" s="341">
        <f>+' Qtr-4 Jan-25 to march-25'!F283</f>
        <v>0</v>
      </c>
      <c r="H104" s="341">
        <f>SUM(D104:G104)</f>
        <v>4440</v>
      </c>
      <c r="I104" s="342">
        <f>H104/C104</f>
        <v>0.45121951219512196</v>
      </c>
      <c r="J104" s="343">
        <f>C104-H104</f>
        <v>5400</v>
      </c>
      <c r="K104" s="342">
        <f t="shared" si="22"/>
        <v>0.54878048780487809</v>
      </c>
      <c r="L104" s="341"/>
    </row>
    <row r="105" spans="1:12" ht="24" x14ac:dyDescent="0.25">
      <c r="A105" s="90" t="s">
        <v>237</v>
      </c>
      <c r="B105" s="340" t="s">
        <v>238</v>
      </c>
      <c r="C105" s="56">
        <v>10000</v>
      </c>
      <c r="D105" s="341">
        <f>+' Qtr-1 April-24 to June-24 '!F278</f>
        <v>5000</v>
      </c>
      <c r="E105" s="341">
        <f>+' Qtr- 2 July-24 to Sept-24  (2)'!F244</f>
        <v>0</v>
      </c>
      <c r="F105" s="341">
        <f>+' Qtr-3 Octo-24 to Dec-24'!F294</f>
        <v>0</v>
      </c>
      <c r="G105" s="341">
        <f>+' Qtr-4 Jan-25 to march-25'!F288</f>
        <v>0</v>
      </c>
      <c r="H105" s="341">
        <f>SUM(D105:G105)</f>
        <v>5000</v>
      </c>
      <c r="I105" s="342">
        <f>H105/C105</f>
        <v>0.5</v>
      </c>
      <c r="J105" s="343">
        <f>C105-H105</f>
        <v>5000</v>
      </c>
      <c r="K105" s="342">
        <f t="shared" si="22"/>
        <v>0.5</v>
      </c>
      <c r="L105" s="341"/>
    </row>
    <row r="106" spans="1:12" x14ac:dyDescent="0.25">
      <c r="A106" s="90" t="s">
        <v>240</v>
      </c>
      <c r="B106" s="340" t="s">
        <v>241</v>
      </c>
      <c r="C106" s="56">
        <v>1000</v>
      </c>
      <c r="D106" s="341">
        <f>+' Qtr-1 April-24 to June-24 '!F281</f>
        <v>900</v>
      </c>
      <c r="E106" s="341">
        <f>+' Qtr- 2 July-24 to Sept-24  (2)'!F247</f>
        <v>0</v>
      </c>
      <c r="F106" s="341">
        <f>+' Qtr-3 Octo-24 to Dec-24'!F297</f>
        <v>0</v>
      </c>
      <c r="G106" s="341">
        <f>+' Qtr-4 Jan-25 to march-25'!F291</f>
        <v>0</v>
      </c>
      <c r="H106" s="341">
        <f>SUM(D106:G106)</f>
        <v>900</v>
      </c>
      <c r="I106" s="342">
        <f>H106/C106</f>
        <v>0.9</v>
      </c>
      <c r="J106" s="343">
        <f>C106-H106</f>
        <v>100</v>
      </c>
      <c r="K106" s="342">
        <f t="shared" si="22"/>
        <v>0.1</v>
      </c>
      <c r="L106" s="555"/>
    </row>
    <row r="107" spans="1:12" x14ac:dyDescent="0.25">
      <c r="A107" s="94"/>
      <c r="B107" s="355" t="s">
        <v>242</v>
      </c>
      <c r="C107" s="97">
        <f t="shared" ref="C107:J107" si="23">SUM(C103:C106)</f>
        <v>24840</v>
      </c>
      <c r="D107" s="357">
        <f t="shared" si="23"/>
        <v>12300</v>
      </c>
      <c r="E107" s="357">
        <f t="shared" si="23"/>
        <v>0</v>
      </c>
      <c r="F107" s="357">
        <f t="shared" si="23"/>
        <v>0</v>
      </c>
      <c r="G107" s="357">
        <f t="shared" si="23"/>
        <v>0</v>
      </c>
      <c r="H107" s="357">
        <f t="shared" si="23"/>
        <v>12300</v>
      </c>
      <c r="I107" s="357">
        <f t="shared" si="23"/>
        <v>2.341219512195122</v>
      </c>
      <c r="J107" s="357">
        <f t="shared" si="23"/>
        <v>12540</v>
      </c>
      <c r="K107" s="350">
        <f t="shared" si="22"/>
        <v>0.50483091787439616</v>
      </c>
      <c r="L107" s="357">
        <f>SUM(L103:L106)</f>
        <v>0</v>
      </c>
    </row>
    <row r="108" spans="1:12" x14ac:dyDescent="0.25">
      <c r="A108" s="359"/>
      <c r="B108" s="360" t="s">
        <v>243</v>
      </c>
      <c r="C108" s="98">
        <f t="shared" ref="C108:J108" si="24">SUM(C107,C101,C97)</f>
        <v>81840</v>
      </c>
      <c r="D108" s="369">
        <f t="shared" si="24"/>
        <v>25725</v>
      </c>
      <c r="E108" s="369">
        <f t="shared" si="24"/>
        <v>0</v>
      </c>
      <c r="F108" s="369">
        <f t="shared" si="24"/>
        <v>11990</v>
      </c>
      <c r="G108" s="369">
        <f t="shared" si="24"/>
        <v>0</v>
      </c>
      <c r="H108" s="369">
        <f t="shared" si="24"/>
        <v>37715</v>
      </c>
      <c r="I108" s="369">
        <f t="shared" si="24"/>
        <v>4.8824933217189308</v>
      </c>
      <c r="J108" s="369">
        <f t="shared" si="24"/>
        <v>44125</v>
      </c>
      <c r="K108" s="375">
        <f t="shared" si="22"/>
        <v>0.53916177908113394</v>
      </c>
      <c r="L108" s="369">
        <f>SUM(L107,L101,L97)</f>
        <v>0</v>
      </c>
    </row>
    <row r="109" spans="1:12" x14ac:dyDescent="0.25">
      <c r="A109" s="116"/>
      <c r="B109" s="362" t="s">
        <v>244</v>
      </c>
      <c r="C109" s="119"/>
      <c r="D109" s="370"/>
      <c r="E109" s="370"/>
      <c r="F109" s="370"/>
      <c r="G109" s="370"/>
      <c r="H109" s="370"/>
      <c r="I109" s="370"/>
      <c r="J109" s="370"/>
      <c r="K109" s="370"/>
      <c r="L109" s="370"/>
    </row>
    <row r="110" spans="1:12" ht="24" x14ac:dyDescent="0.25">
      <c r="A110" s="80">
        <v>4.0999999999999996</v>
      </c>
      <c r="B110" s="373" t="s">
        <v>245</v>
      </c>
      <c r="C110" s="366"/>
      <c r="D110" s="358"/>
      <c r="E110" s="358"/>
      <c r="F110" s="358"/>
      <c r="G110" s="358"/>
      <c r="H110" s="358"/>
      <c r="I110" s="358"/>
      <c r="J110" s="358"/>
      <c r="K110" s="358"/>
      <c r="L110" s="358"/>
    </row>
    <row r="111" spans="1:12" x14ac:dyDescent="0.25">
      <c r="A111" s="170" t="s">
        <v>246</v>
      </c>
      <c r="B111" s="340" t="s">
        <v>247</v>
      </c>
      <c r="C111" s="56">
        <v>54000</v>
      </c>
      <c r="D111" s="341">
        <f>+' Qtr-1 April-24 to June-24 '!F290</f>
        <v>0</v>
      </c>
      <c r="E111" s="341">
        <f>+' Qtr- 2 July-24 to Sept-24  (2)'!F256</f>
        <v>15970</v>
      </c>
      <c r="F111" s="341">
        <f>+' Qtr-3 Octo-24 to Dec-24'!F307</f>
        <v>16622</v>
      </c>
      <c r="G111" s="341">
        <f>+' Qtr-4 Jan-25 to march-25'!F300</f>
        <v>0</v>
      </c>
      <c r="H111" s="341">
        <f>SUM(D111:G111)</f>
        <v>32592</v>
      </c>
      <c r="I111" s="342">
        <f>H111/C111</f>
        <v>0.60355555555555551</v>
      </c>
      <c r="J111" s="343">
        <f>C111-H111</f>
        <v>21408</v>
      </c>
      <c r="K111" s="342">
        <f>J111/C111</f>
        <v>0.39644444444444443</v>
      </c>
      <c r="L111" s="555"/>
    </row>
    <row r="112" spans="1:12" x14ac:dyDescent="0.25">
      <c r="A112" s="170" t="s">
        <v>249</v>
      </c>
      <c r="B112" s="340" t="s">
        <v>250</v>
      </c>
      <c r="C112" s="56">
        <v>7200</v>
      </c>
      <c r="D112" s="341">
        <f>+' Qtr-1 April-24 to June-24 '!F295</f>
        <v>0</v>
      </c>
      <c r="E112" s="341">
        <f>+' Qtr- 2 July-24 to Sept-24  (2)'!F261</f>
        <v>2380</v>
      </c>
      <c r="F112" s="341">
        <f>+' Qtr-3 Octo-24 to Dec-24'!F312</f>
        <v>2370</v>
      </c>
      <c r="G112" s="341">
        <f>+' Qtr-4 Jan-25 to march-25'!F305</f>
        <v>0</v>
      </c>
      <c r="H112" s="341">
        <f>SUM(D112:G112)</f>
        <v>4750</v>
      </c>
      <c r="I112" s="342">
        <f>H112/C112</f>
        <v>0.65972222222222221</v>
      </c>
      <c r="J112" s="343">
        <f>C112-H112</f>
        <v>2450</v>
      </c>
      <c r="K112" s="342">
        <f>J112/C112</f>
        <v>0.34027777777777779</v>
      </c>
      <c r="L112" s="341"/>
    </row>
    <row r="113" spans="1:12" ht="15.75" x14ac:dyDescent="0.25">
      <c r="A113" s="376" t="s">
        <v>347</v>
      </c>
      <c r="B113" s="377" t="s">
        <v>251</v>
      </c>
      <c r="C113" s="66">
        <v>0</v>
      </c>
      <c r="D113" s="378"/>
      <c r="E113" s="378"/>
      <c r="F113" s="378"/>
      <c r="G113" s="378"/>
      <c r="H113" s="378"/>
      <c r="I113" s="379"/>
      <c r="J113" s="380"/>
      <c r="K113" s="379"/>
      <c r="L113" s="378"/>
    </row>
    <row r="114" spans="1:12" x14ac:dyDescent="0.25">
      <c r="A114" s="170" t="s">
        <v>252</v>
      </c>
      <c r="B114" s="51" t="s">
        <v>251</v>
      </c>
      <c r="C114" s="56">
        <v>28000</v>
      </c>
      <c r="D114" s="341">
        <f>+' Qtr-1 April-24 to June-24 '!F299</f>
        <v>0</v>
      </c>
      <c r="E114" s="341">
        <f>+' Qtr- 2 July-24 to Sept-24  (2)'!F265</f>
        <v>0</v>
      </c>
      <c r="F114" s="341">
        <f>+' Qtr-3 Octo-24 to Dec-24'!F316</f>
        <v>16883</v>
      </c>
      <c r="G114" s="341">
        <f>+' Qtr-4 Jan-25 to march-25'!F309</f>
        <v>0</v>
      </c>
      <c r="H114" s="341">
        <f>SUM(D114:G114)</f>
        <v>16883</v>
      </c>
      <c r="I114" s="342"/>
      <c r="J114" s="343">
        <f>C114-H114</f>
        <v>11117</v>
      </c>
      <c r="K114" s="342"/>
      <c r="L114" s="341"/>
    </row>
    <row r="115" spans="1:12" x14ac:dyDescent="0.25">
      <c r="A115" s="170" t="s">
        <v>253</v>
      </c>
      <c r="B115" s="51" t="s">
        <v>254</v>
      </c>
      <c r="C115" s="56">
        <v>6000</v>
      </c>
      <c r="D115" s="341">
        <f>+' Qtr-1 April-24 to June-24 '!F302</f>
        <v>0</v>
      </c>
      <c r="E115" s="341">
        <f>+' Qtr- 2 July-24 to Sept-24  (2)'!F268</f>
        <v>0</v>
      </c>
      <c r="F115" s="341">
        <f>+' Qtr-3 Octo-24 to Dec-24'!F319</f>
        <v>15240</v>
      </c>
      <c r="G115" s="341">
        <f>+' Qtr-4 Jan-25 to march-25'!F312</f>
        <v>0</v>
      </c>
      <c r="H115" s="341">
        <f>SUM(D115:G115)</f>
        <v>15240</v>
      </c>
      <c r="I115" s="342"/>
      <c r="J115" s="343">
        <f>C115-H115</f>
        <v>-9240</v>
      </c>
      <c r="K115" s="342"/>
      <c r="L115" s="341"/>
    </row>
    <row r="116" spans="1:12" x14ac:dyDescent="0.25">
      <c r="A116" s="178"/>
      <c r="B116" s="381" t="s">
        <v>348</v>
      </c>
      <c r="C116" s="382">
        <f t="shared" ref="C116:J116" si="25">SUM(C111:C115)</f>
        <v>95200</v>
      </c>
      <c r="D116" s="383">
        <f t="shared" si="25"/>
        <v>0</v>
      </c>
      <c r="E116" s="383">
        <f t="shared" si="25"/>
        <v>18350</v>
      </c>
      <c r="F116" s="383">
        <f t="shared" si="25"/>
        <v>51115</v>
      </c>
      <c r="G116" s="383">
        <f t="shared" si="25"/>
        <v>0</v>
      </c>
      <c r="H116" s="383">
        <f t="shared" si="25"/>
        <v>69465</v>
      </c>
      <c r="I116" s="383">
        <f t="shared" si="25"/>
        <v>1.2632777777777777</v>
      </c>
      <c r="J116" s="383">
        <f t="shared" si="25"/>
        <v>25735</v>
      </c>
      <c r="K116" s="384">
        <f>J116/C116</f>
        <v>0.27032563025210082</v>
      </c>
      <c r="L116" s="385">
        <f>SUM(L111:L115)</f>
        <v>0</v>
      </c>
    </row>
    <row r="117" spans="1:12" ht="15.75" x14ac:dyDescent="0.25">
      <c r="A117" s="80">
        <v>4.3</v>
      </c>
      <c r="B117" s="351" t="s">
        <v>257</v>
      </c>
      <c r="C117" s="366"/>
      <c r="D117" s="353"/>
      <c r="E117" s="353"/>
      <c r="F117" s="353"/>
      <c r="G117" s="353"/>
      <c r="H117" s="353"/>
      <c r="I117" s="353"/>
      <c r="J117" s="353"/>
      <c r="K117" s="353"/>
      <c r="L117" s="353"/>
    </row>
    <row r="118" spans="1:12" x14ac:dyDescent="0.25">
      <c r="A118" s="70" t="s">
        <v>258</v>
      </c>
      <c r="B118" s="340" t="s">
        <v>259</v>
      </c>
      <c r="C118" s="56">
        <v>8640</v>
      </c>
      <c r="D118" s="341">
        <f>+' Qtr-1 April-24 to June-24 '!F309</f>
        <v>2160</v>
      </c>
      <c r="E118" s="341">
        <f>+' Qtr- 2 July-24 to Sept-24  (2)'!F275</f>
        <v>2160</v>
      </c>
      <c r="F118" s="341">
        <f>+' Qtr-3 Octo-24 to Dec-24'!F326</f>
        <v>2040</v>
      </c>
      <c r="G118" s="341">
        <f>+' Qtr-4 Jan-25 to march-25'!F318</f>
        <v>0</v>
      </c>
      <c r="H118" s="341">
        <f>SUM(D118:G118)</f>
        <v>6360</v>
      </c>
      <c r="I118" s="342">
        <f>H118/C118</f>
        <v>0.73611111111111116</v>
      </c>
      <c r="J118" s="343">
        <f>C118-H118</f>
        <v>2280</v>
      </c>
      <c r="K118" s="342">
        <f>J118/C118</f>
        <v>0.2638888888888889</v>
      </c>
      <c r="L118" s="341"/>
    </row>
    <row r="119" spans="1:12" x14ac:dyDescent="0.25">
      <c r="A119" s="386"/>
      <c r="B119" s="381" t="s">
        <v>349</v>
      </c>
      <c r="C119" s="382">
        <f t="shared" ref="C119:L119" si="26">SUM(C118)</f>
        <v>8640</v>
      </c>
      <c r="D119" s="382">
        <f t="shared" si="26"/>
        <v>2160</v>
      </c>
      <c r="E119" s="382">
        <f t="shared" si="26"/>
        <v>2160</v>
      </c>
      <c r="F119" s="382">
        <f t="shared" si="26"/>
        <v>2040</v>
      </c>
      <c r="G119" s="382">
        <f t="shared" si="26"/>
        <v>0</v>
      </c>
      <c r="H119" s="382">
        <f t="shared" si="26"/>
        <v>6360</v>
      </c>
      <c r="I119" s="382">
        <f t="shared" si="26"/>
        <v>0.73611111111111116</v>
      </c>
      <c r="J119" s="382">
        <f t="shared" si="26"/>
        <v>2280</v>
      </c>
      <c r="K119" s="382">
        <f t="shared" si="26"/>
        <v>0.2638888888888889</v>
      </c>
      <c r="L119" s="382">
        <f t="shared" si="26"/>
        <v>0</v>
      </c>
    </row>
    <row r="120" spans="1:12" ht="31.5" x14ac:dyDescent="0.25">
      <c r="A120" s="61" t="s">
        <v>350</v>
      </c>
      <c r="B120" s="184" t="s">
        <v>262</v>
      </c>
      <c r="C120" s="56">
        <v>44420</v>
      </c>
      <c r="D120" s="387">
        <f>+' Qtr-1 April-24 to June-24 '!D314</f>
        <v>0</v>
      </c>
      <c r="E120" s="387">
        <f>+' Qtr- 2 July-24 to Sept-24  (2)'!F280</f>
        <v>0</v>
      </c>
      <c r="F120" s="387">
        <f>+' Qtr-3 Octo-24 to Dec-24'!F331</f>
        <v>0</v>
      </c>
      <c r="G120" s="387">
        <f>+' Qtr-4 Jan-25 to march-25'!F323</f>
        <v>0</v>
      </c>
      <c r="H120" s="341">
        <f>SUM(D120:G120)</f>
        <v>0</v>
      </c>
      <c r="I120" s="342">
        <f>H120/C120</f>
        <v>0</v>
      </c>
      <c r="J120" s="343">
        <f>C120-H120</f>
        <v>44420</v>
      </c>
      <c r="K120" s="342">
        <f>J120/C120</f>
        <v>1</v>
      </c>
      <c r="L120" s="387"/>
    </row>
    <row r="121" spans="1:12" x14ac:dyDescent="0.25">
      <c r="A121" s="386"/>
      <c r="B121" s="381" t="s">
        <v>351</v>
      </c>
      <c r="C121" s="382">
        <f t="shared" ref="C121:L121" si="27">SUM(C120)</f>
        <v>44420</v>
      </c>
      <c r="D121" s="382">
        <f t="shared" si="27"/>
        <v>0</v>
      </c>
      <c r="E121" s="382">
        <f t="shared" si="27"/>
        <v>0</v>
      </c>
      <c r="F121" s="382">
        <f t="shared" si="27"/>
        <v>0</v>
      </c>
      <c r="G121" s="382">
        <f t="shared" si="27"/>
        <v>0</v>
      </c>
      <c r="H121" s="382">
        <f t="shared" si="27"/>
        <v>0</v>
      </c>
      <c r="I121" s="382">
        <f t="shared" si="27"/>
        <v>0</v>
      </c>
      <c r="J121" s="382">
        <f t="shared" si="27"/>
        <v>44420</v>
      </c>
      <c r="K121" s="382">
        <f t="shared" si="27"/>
        <v>1</v>
      </c>
      <c r="L121" s="382">
        <f t="shared" si="27"/>
        <v>0</v>
      </c>
    </row>
    <row r="122" spans="1:12" x14ac:dyDescent="0.25">
      <c r="A122" s="359"/>
      <c r="B122" s="360" t="s">
        <v>265</v>
      </c>
      <c r="C122" s="98">
        <f t="shared" ref="C122:L122" si="28">SUM(C116,C119,C121)</f>
        <v>148260</v>
      </c>
      <c r="D122" s="98">
        <f t="shared" si="28"/>
        <v>2160</v>
      </c>
      <c r="E122" s="98">
        <f t="shared" si="28"/>
        <v>20510</v>
      </c>
      <c r="F122" s="98">
        <f t="shared" si="28"/>
        <v>53155</v>
      </c>
      <c r="G122" s="98">
        <f t="shared" si="28"/>
        <v>0</v>
      </c>
      <c r="H122" s="98">
        <f t="shared" si="28"/>
        <v>75825</v>
      </c>
      <c r="I122" s="98">
        <f t="shared" si="28"/>
        <v>1.9993888888888889</v>
      </c>
      <c r="J122" s="98">
        <f t="shared" si="28"/>
        <v>72435</v>
      </c>
      <c r="K122" s="98">
        <f t="shared" si="28"/>
        <v>1.5342145191409897</v>
      </c>
      <c r="L122" s="98">
        <f t="shared" si="28"/>
        <v>0</v>
      </c>
    </row>
    <row r="123" spans="1:12" x14ac:dyDescent="0.25">
      <c r="A123" s="388"/>
      <c r="B123" s="389" t="s">
        <v>266</v>
      </c>
      <c r="C123" s="390">
        <f t="shared" ref="C123:H123" si="29">SUM(C122,C108,C90,C32)</f>
        <v>906900</v>
      </c>
      <c r="D123" s="391">
        <f t="shared" si="29"/>
        <v>105600</v>
      </c>
      <c r="E123" s="391">
        <f t="shared" si="29"/>
        <v>336200</v>
      </c>
      <c r="F123" s="391">
        <f t="shared" si="29"/>
        <v>173970</v>
      </c>
      <c r="G123" s="391">
        <f t="shared" si="29"/>
        <v>0</v>
      </c>
      <c r="H123" s="391">
        <f t="shared" si="29"/>
        <v>615770</v>
      </c>
      <c r="I123" s="392">
        <f>H123/C123</f>
        <v>0.67898334987319442</v>
      </c>
      <c r="J123" s="391">
        <f>SUM(J122,J108,J90,J32)</f>
        <v>291130</v>
      </c>
      <c r="K123" s="392">
        <f>J123/C123</f>
        <v>0.32101665012680558</v>
      </c>
      <c r="L123" s="391">
        <f>SUM(L122,L108,L90,L32)</f>
        <v>0</v>
      </c>
    </row>
    <row r="124" spans="1:12" ht="15.75" x14ac:dyDescent="0.25">
      <c r="A124" s="393">
        <v>5</v>
      </c>
      <c r="B124" s="394" t="s">
        <v>267</v>
      </c>
      <c r="C124" s="363"/>
      <c r="D124" s="358"/>
      <c r="E124" s="358"/>
      <c r="F124" s="358"/>
      <c r="G124" s="358"/>
      <c r="H124" s="358"/>
      <c r="I124" s="358"/>
      <c r="J124" s="358"/>
      <c r="K124" s="358"/>
      <c r="L124" s="358"/>
    </row>
    <row r="125" spans="1:12" x14ac:dyDescent="0.25">
      <c r="A125" s="124">
        <v>5.0999999999999996</v>
      </c>
      <c r="B125" s="395" t="s">
        <v>268</v>
      </c>
      <c r="C125" s="56">
        <v>0</v>
      </c>
      <c r="D125" s="341">
        <f>+' Qtr-1 April-24 to June-24 '!F319</f>
        <v>0</v>
      </c>
      <c r="E125" s="341">
        <f>+' Qtr- 2 July-24 to Sept-24  (2)'!F285</f>
        <v>0</v>
      </c>
      <c r="F125" s="341">
        <f>+' Qtr-3 Octo-24 to Dec-24'!F336</f>
        <v>0</v>
      </c>
      <c r="G125" s="341">
        <f>+' Qtr-4 Jan-25 to march-25'!F328</f>
        <v>0</v>
      </c>
      <c r="H125" s="341">
        <f>SUM(D125:G125)</f>
        <v>0</v>
      </c>
      <c r="I125" s="342"/>
      <c r="J125" s="341"/>
      <c r="K125" s="341"/>
      <c r="L125" s="341"/>
    </row>
    <row r="126" spans="1:12" x14ac:dyDescent="0.25">
      <c r="A126" s="388"/>
      <c r="B126" s="389" t="s">
        <v>270</v>
      </c>
      <c r="C126" s="390">
        <f t="shared" ref="C126:H126" si="30">C125</f>
        <v>0</v>
      </c>
      <c r="D126" s="396">
        <f t="shared" si="30"/>
        <v>0</v>
      </c>
      <c r="E126" s="396">
        <f t="shared" si="30"/>
        <v>0</v>
      </c>
      <c r="F126" s="396">
        <f t="shared" si="30"/>
        <v>0</v>
      </c>
      <c r="G126" s="396">
        <f t="shared" si="30"/>
        <v>0</v>
      </c>
      <c r="H126" s="396">
        <f t="shared" si="30"/>
        <v>0</v>
      </c>
      <c r="I126" s="392"/>
      <c r="J126" s="396">
        <f>J125</f>
        <v>0</v>
      </c>
      <c r="K126" s="396">
        <f>K125</f>
        <v>0</v>
      </c>
      <c r="L126" s="396">
        <f>L125</f>
        <v>0</v>
      </c>
    </row>
    <row r="127" spans="1:12" ht="24" x14ac:dyDescent="0.25">
      <c r="A127" s="397">
        <v>6</v>
      </c>
      <c r="B127" s="398" t="s">
        <v>271</v>
      </c>
      <c r="C127" s="399"/>
      <c r="D127" s="358"/>
      <c r="E127" s="358"/>
      <c r="F127" s="358"/>
      <c r="G127" s="358"/>
      <c r="H127" s="358"/>
      <c r="I127" s="358"/>
      <c r="J127" s="358"/>
      <c r="K127" s="358"/>
      <c r="L127" s="358"/>
    </row>
    <row r="128" spans="1:12" ht="24" x14ac:dyDescent="0.25">
      <c r="A128" s="209">
        <v>6.1</v>
      </c>
      <c r="B128" s="400" t="s">
        <v>272</v>
      </c>
      <c r="C128" s="56">
        <v>315000</v>
      </c>
      <c r="D128" s="341">
        <f>+' Qtr-1 April-24 to June-24 '!F326</f>
        <v>78750</v>
      </c>
      <c r="E128" s="341">
        <f>+' Qtr- 2 July-24 to Sept-24  (2)'!F293</f>
        <v>78750</v>
      </c>
      <c r="F128" s="341">
        <f>+' Qtr-3 Octo-24 to Dec-24'!F343</f>
        <v>78750</v>
      </c>
      <c r="G128" s="341">
        <f>+' Qtr-4 Jan-25 to march-25'!F335</f>
        <v>0</v>
      </c>
      <c r="H128" s="341">
        <f>SUM(D128:G128)</f>
        <v>236250</v>
      </c>
      <c r="I128" s="342">
        <f>H128/C128</f>
        <v>0.75</v>
      </c>
      <c r="J128" s="343">
        <f>C128-H128</f>
        <v>78750</v>
      </c>
      <c r="K128" s="342">
        <f>J128/C128</f>
        <v>0.25</v>
      </c>
      <c r="L128" s="341"/>
    </row>
    <row r="129" spans="1:12" ht="24" x14ac:dyDescent="0.25">
      <c r="A129" s="209">
        <v>6.2</v>
      </c>
      <c r="B129" s="400" t="s">
        <v>275</v>
      </c>
      <c r="C129" s="56">
        <v>252000</v>
      </c>
      <c r="D129" s="341">
        <f>+' Qtr-1 April-24 to June-24 '!F331</f>
        <v>63000</v>
      </c>
      <c r="E129" s="341">
        <f>+' Qtr- 2 July-24 to Sept-24  (2)'!F299</f>
        <v>63000</v>
      </c>
      <c r="F129" s="341">
        <f>+' Qtr-3 Octo-24 to Dec-24'!F348</f>
        <v>63000</v>
      </c>
      <c r="G129" s="341">
        <f>+' Qtr-4 Jan-25 to march-25'!F340</f>
        <v>0</v>
      </c>
      <c r="H129" s="341">
        <f>SUM(D129:G129)</f>
        <v>189000</v>
      </c>
      <c r="I129" s="342">
        <f>H129/C129</f>
        <v>0.75</v>
      </c>
      <c r="J129" s="343">
        <f>C129-H129</f>
        <v>63000</v>
      </c>
      <c r="K129" s="342">
        <f>J129/C129</f>
        <v>0.25</v>
      </c>
      <c r="L129" s="341"/>
    </row>
    <row r="130" spans="1:12" ht="24" x14ac:dyDescent="0.25">
      <c r="A130" s="209">
        <v>6.3</v>
      </c>
      <c r="B130" s="400" t="s">
        <v>277</v>
      </c>
      <c r="C130" s="56">
        <v>604800</v>
      </c>
      <c r="D130" s="341">
        <f>+' Qtr-1 April-24 to June-24 '!F337</f>
        <v>151200</v>
      </c>
      <c r="E130" s="341">
        <f>+' Qtr- 2 July-24 to Sept-24  (2)'!F305</f>
        <v>151200</v>
      </c>
      <c r="F130" s="341">
        <f>+' Qtr-3 Octo-24 to Dec-24'!F363</f>
        <v>142082</v>
      </c>
      <c r="G130" s="341">
        <f>+' Qtr-4 Jan-25 to march-25'!F346</f>
        <v>0</v>
      </c>
      <c r="H130" s="341">
        <f>SUM(D130:G130)</f>
        <v>444482</v>
      </c>
      <c r="I130" s="342">
        <f>H130/C130</f>
        <v>0.73492394179894183</v>
      </c>
      <c r="J130" s="343">
        <f>C130-H130</f>
        <v>160318</v>
      </c>
      <c r="K130" s="342">
        <f>J130/C130</f>
        <v>0.26507605820105817</v>
      </c>
      <c r="L130" s="341"/>
    </row>
    <row r="131" spans="1:12" x14ac:dyDescent="0.25">
      <c r="A131" s="209">
        <v>6.4</v>
      </c>
      <c r="B131" s="400" t="s">
        <v>352</v>
      </c>
      <c r="C131" s="67">
        <v>126000</v>
      </c>
      <c r="D131" s="341">
        <f>+' Qtr-1 April-24 to June-24 '!F342</f>
        <v>31500</v>
      </c>
      <c r="E131" s="341">
        <f>+' Qtr- 2 July-24 to Sept-24  (2)'!F310</f>
        <v>31500</v>
      </c>
      <c r="F131" s="341">
        <f>+' Qtr-3 Octo-24 to Dec-24'!F368</f>
        <v>31500</v>
      </c>
      <c r="G131" s="341">
        <f>+' Qtr-4 Jan-25 to march-25'!F349</f>
        <v>0</v>
      </c>
      <c r="H131" s="341">
        <f>SUM(D131:G131)</f>
        <v>94500</v>
      </c>
      <c r="I131" s="342">
        <f>H131/C131</f>
        <v>0.75</v>
      </c>
      <c r="J131" s="343">
        <f>C131-H131</f>
        <v>31500</v>
      </c>
      <c r="K131" s="342">
        <f>J131/C131</f>
        <v>0.25</v>
      </c>
      <c r="L131" s="341"/>
    </row>
    <row r="132" spans="1:12" ht="25.5" x14ac:dyDescent="0.25">
      <c r="A132" s="209">
        <v>6.5</v>
      </c>
      <c r="B132" s="210" t="s">
        <v>281</v>
      </c>
      <c r="C132" s="67">
        <v>96000</v>
      </c>
      <c r="D132" s="387">
        <f>+' Qtr-1 April-24 to June-24 '!F347</f>
        <v>24000</v>
      </c>
      <c r="E132" s="387">
        <f>+' Qtr- 2 July-24 to Sept-24  (2)'!F315</f>
        <v>24000</v>
      </c>
      <c r="F132" s="387">
        <f>+' Qtr-3 Octo-24 to Dec-24'!F373</f>
        <v>24000</v>
      </c>
      <c r="G132" s="387">
        <f>+' Qtr-4 Jan-25 to march-25'!F353</f>
        <v>0</v>
      </c>
      <c r="H132" s="341">
        <f>SUM(D132:G132)</f>
        <v>72000</v>
      </c>
      <c r="I132" s="342">
        <f>H132/C132</f>
        <v>0.75</v>
      </c>
      <c r="J132" s="343">
        <f>C132-H132</f>
        <v>24000</v>
      </c>
      <c r="K132" s="342">
        <f>J132/C132</f>
        <v>0.25</v>
      </c>
      <c r="L132" s="387"/>
    </row>
    <row r="133" spans="1:12" x14ac:dyDescent="0.25">
      <c r="A133" s="401"/>
      <c r="B133" s="389" t="s">
        <v>283</v>
      </c>
      <c r="C133" s="390">
        <f t="shared" ref="C133:K133" si="31">SUM(C128:C132)</f>
        <v>1393800</v>
      </c>
      <c r="D133" s="402">
        <f t="shared" si="31"/>
        <v>348450</v>
      </c>
      <c r="E133" s="402">
        <f t="shared" si="31"/>
        <v>348450</v>
      </c>
      <c r="F133" s="402">
        <f t="shared" si="31"/>
        <v>339332</v>
      </c>
      <c r="G133" s="402">
        <f t="shared" si="31"/>
        <v>0</v>
      </c>
      <c r="H133" s="402">
        <f t="shared" si="31"/>
        <v>1036232</v>
      </c>
      <c r="I133" s="402">
        <f t="shared" si="31"/>
        <v>3.7349239417989417</v>
      </c>
      <c r="J133" s="402">
        <f t="shared" si="31"/>
        <v>357568</v>
      </c>
      <c r="K133" s="402">
        <f t="shared" si="31"/>
        <v>1.2650760582010583</v>
      </c>
      <c r="L133" s="402">
        <f>SUM(L128:L131)</f>
        <v>0</v>
      </c>
    </row>
    <row r="134" spans="1:12" x14ac:dyDescent="0.25">
      <c r="A134" s="131">
        <v>7</v>
      </c>
      <c r="B134" s="403" t="s">
        <v>284</v>
      </c>
      <c r="C134" s="363"/>
      <c r="D134" s="358"/>
      <c r="E134" s="358"/>
      <c r="F134" s="358"/>
      <c r="G134" s="358"/>
      <c r="H134" s="358"/>
      <c r="I134" s="358"/>
      <c r="J134" s="358"/>
      <c r="K134" s="358"/>
      <c r="L134" s="358"/>
    </row>
    <row r="135" spans="1:12" x14ac:dyDescent="0.25">
      <c r="A135" s="209">
        <v>7.1</v>
      </c>
      <c r="B135" s="395" t="s">
        <v>353</v>
      </c>
      <c r="C135" s="56">
        <v>90000</v>
      </c>
      <c r="D135" s="341">
        <f>+' Qtr-1 April-24 to June-24 '!F353</f>
        <v>13845</v>
      </c>
      <c r="E135" s="341">
        <f>+' Qtr- 2 July-24 to Sept-24  (2)'!F321</f>
        <v>15468</v>
      </c>
      <c r="F135" s="341">
        <f>+' Qtr-3 Octo-24 to Dec-24'!F380</f>
        <v>0</v>
      </c>
      <c r="G135" s="341">
        <f>+' Qtr-4 Jan-25 to march-25'!F359</f>
        <v>0</v>
      </c>
      <c r="H135" s="341">
        <f>SUM(D135:G135)</f>
        <v>29313</v>
      </c>
      <c r="I135" s="342">
        <f>H135/C135</f>
        <v>0.32569999999999999</v>
      </c>
      <c r="J135" s="343">
        <f>C135-H135</f>
        <v>60687</v>
      </c>
      <c r="K135" s="342">
        <f>J135/C135</f>
        <v>0.67430000000000001</v>
      </c>
      <c r="L135" s="555"/>
    </row>
    <row r="136" spans="1:12" ht="36" x14ac:dyDescent="0.25">
      <c r="A136" s="209">
        <v>7.2</v>
      </c>
      <c r="B136" s="354" t="s">
        <v>286</v>
      </c>
      <c r="C136" s="56">
        <v>30000</v>
      </c>
      <c r="D136" s="341">
        <f>+' Qtr-1 April-24 to June-24 '!F358</f>
        <v>8916</v>
      </c>
      <c r="E136" s="341">
        <f>+' Qtr- 2 July-24 to Sept-24  (2)'!F326</f>
        <v>8172</v>
      </c>
      <c r="F136" s="341">
        <f>+' Qtr-3 Octo-24 to Dec-24'!F385</f>
        <v>7932</v>
      </c>
      <c r="G136" s="341">
        <f>+' Qtr-4 Jan-25 to march-25'!F363</f>
        <v>0</v>
      </c>
      <c r="H136" s="341">
        <f>SUM(D136:G136)</f>
        <v>25020</v>
      </c>
      <c r="I136" s="342">
        <f>H136/C136</f>
        <v>0.83399999999999996</v>
      </c>
      <c r="J136" s="343">
        <f>C136-H136</f>
        <v>4980</v>
      </c>
      <c r="K136" s="342">
        <f>J136/C136</f>
        <v>0.16600000000000001</v>
      </c>
      <c r="L136" s="556"/>
    </row>
    <row r="137" spans="1:12" ht="36" x14ac:dyDescent="0.25">
      <c r="A137" s="209">
        <v>7.3</v>
      </c>
      <c r="B137" s="354" t="s">
        <v>288</v>
      </c>
      <c r="C137" s="56">
        <v>30000</v>
      </c>
      <c r="D137" s="341">
        <f>+' Qtr-1 April-24 to June-24 '!F363</f>
        <v>7790</v>
      </c>
      <c r="E137" s="341">
        <f>+' Qtr- 2 July-24 to Sept-24  (2)'!F331</f>
        <v>7555</v>
      </c>
      <c r="F137" s="341">
        <f>+' Qtr-3 Octo-24 to Dec-24'!F390</f>
        <v>7620</v>
      </c>
      <c r="G137" s="341">
        <f>+' Qtr-4 Jan-25 to march-25'!F367</f>
        <v>0</v>
      </c>
      <c r="H137" s="341">
        <f>SUM(D137:G137)</f>
        <v>22965</v>
      </c>
      <c r="I137" s="342">
        <f>H137/C137</f>
        <v>0.76549999999999996</v>
      </c>
      <c r="J137" s="343">
        <f>C137-H137</f>
        <v>7035</v>
      </c>
      <c r="K137" s="342">
        <f>J137/C137</f>
        <v>0.23449999999999999</v>
      </c>
      <c r="L137" s="555"/>
    </row>
    <row r="138" spans="1:12" ht="24" x14ac:dyDescent="0.25">
      <c r="A138" s="209">
        <v>7.4</v>
      </c>
      <c r="B138" s="340" t="s">
        <v>289</v>
      </c>
      <c r="C138" s="56">
        <v>76800</v>
      </c>
      <c r="D138" s="341">
        <f>+' Qtr-1 April-24 to June-24 '!F377</f>
        <v>18126</v>
      </c>
      <c r="E138" s="341">
        <f>+' Qtr- 2 July-24 to Sept-24  (2)'!F346</f>
        <v>19554</v>
      </c>
      <c r="F138" s="341">
        <f>+' Qtr-3 Octo-24 to Dec-24'!F404</f>
        <v>19779</v>
      </c>
      <c r="G138" s="341">
        <f>+' Qtr-4 Jan-25 to march-25'!F370</f>
        <v>0</v>
      </c>
      <c r="H138" s="341">
        <f>SUM(D138:G138)</f>
        <v>57459</v>
      </c>
      <c r="I138" s="342">
        <f>H138/C138</f>
        <v>0.7481640625</v>
      </c>
      <c r="J138" s="343">
        <f>C138-H138</f>
        <v>19341</v>
      </c>
      <c r="K138" s="342">
        <f>J138/C138</f>
        <v>0.2518359375</v>
      </c>
      <c r="L138" s="557"/>
    </row>
    <row r="139" spans="1:12" x14ac:dyDescent="0.25">
      <c r="A139" s="401"/>
      <c r="B139" s="404" t="s">
        <v>291</v>
      </c>
      <c r="C139" s="390">
        <f t="shared" ref="C139:H139" si="32">SUM(C135:C138)</f>
        <v>226800</v>
      </c>
      <c r="D139" s="396">
        <f t="shared" si="32"/>
        <v>48677</v>
      </c>
      <c r="E139" s="396">
        <f t="shared" si="32"/>
        <v>50749</v>
      </c>
      <c r="F139" s="396">
        <f t="shared" si="32"/>
        <v>35331</v>
      </c>
      <c r="G139" s="396">
        <f t="shared" si="32"/>
        <v>0</v>
      </c>
      <c r="H139" s="396">
        <f t="shared" si="32"/>
        <v>134757</v>
      </c>
      <c r="I139" s="392">
        <f>H139/C139</f>
        <v>0.59416666666666662</v>
      </c>
      <c r="J139" s="396">
        <f>SUM(J135:J138)</f>
        <v>92043</v>
      </c>
      <c r="K139" s="392">
        <f>J139/C139</f>
        <v>0.40583333333333332</v>
      </c>
      <c r="L139" s="396">
        <f>SUM(L135:L138)</f>
        <v>0</v>
      </c>
    </row>
    <row r="140" spans="1:12" x14ac:dyDescent="0.25">
      <c r="A140" s="397">
        <v>8</v>
      </c>
      <c r="B140" s="398" t="s">
        <v>292</v>
      </c>
      <c r="C140" s="399"/>
      <c r="D140" s="358"/>
      <c r="E140" s="358"/>
      <c r="F140" s="358"/>
      <c r="G140" s="358"/>
      <c r="H140" s="358"/>
      <c r="I140" s="358"/>
      <c r="J140" s="358"/>
      <c r="K140" s="358"/>
      <c r="L140" s="358"/>
    </row>
    <row r="141" spans="1:12" ht="24" x14ac:dyDescent="0.25">
      <c r="A141" s="209">
        <v>8.1</v>
      </c>
      <c r="B141" s="340" t="s">
        <v>293</v>
      </c>
      <c r="C141" s="56">
        <v>102000</v>
      </c>
      <c r="D141" s="341">
        <f>+' Qtr-1 April-24 to June-24 '!F384</f>
        <v>25500</v>
      </c>
      <c r="E141" s="341">
        <f>+' Qtr- 2 July-24 to Sept-24  (2)'!F353</f>
        <v>25500</v>
      </c>
      <c r="F141" s="341">
        <f>+' Qtr-3 Octo-24 to Dec-24'!F411</f>
        <v>25500</v>
      </c>
      <c r="G141" s="341">
        <f>+' Qtr-4 Jan-25 to march-25'!F376</f>
        <v>0</v>
      </c>
      <c r="H141" s="341">
        <f>SUM(D141:G141)</f>
        <v>76500</v>
      </c>
      <c r="I141" s="342">
        <f t="shared" ref="I141:I147" si="33">H141/C141</f>
        <v>0.75</v>
      </c>
      <c r="J141" s="343">
        <f>C141-H141</f>
        <v>25500</v>
      </c>
      <c r="K141" s="342">
        <f t="shared" ref="K141:K147" si="34">J141/C141</f>
        <v>0.25</v>
      </c>
      <c r="L141" s="341"/>
    </row>
    <row r="142" spans="1:12" ht="24" x14ac:dyDescent="0.25">
      <c r="A142" s="209">
        <v>8.1999999999999993</v>
      </c>
      <c r="B142" s="340" t="s">
        <v>296</v>
      </c>
      <c r="C142" s="56">
        <v>24000</v>
      </c>
      <c r="D142" s="341">
        <f>+' Qtr-1 April-24 to June-24 '!F396</f>
        <v>6897.38</v>
      </c>
      <c r="E142" s="341">
        <f>+' Qtr- 2 July-24 to Sept-24  (2)'!F360</f>
        <v>3465.9</v>
      </c>
      <c r="F142" s="341">
        <f>+' Qtr-3 Octo-24 to Dec-24'!F416</f>
        <v>3724.12</v>
      </c>
      <c r="G142" s="341">
        <f>+' Qtr-4 Jan-25 to march-25'!F380</f>
        <v>0</v>
      </c>
      <c r="H142" s="341">
        <f>SUM(D142:G142)</f>
        <v>14087.400000000001</v>
      </c>
      <c r="I142" s="342">
        <f t="shared" si="33"/>
        <v>0.58697500000000002</v>
      </c>
      <c r="J142" s="343">
        <f>C142-H142</f>
        <v>9912.5999999999985</v>
      </c>
      <c r="K142" s="342">
        <f t="shared" si="34"/>
        <v>0.41302499999999992</v>
      </c>
      <c r="L142" s="341"/>
    </row>
    <row r="143" spans="1:12" x14ac:dyDescent="0.25">
      <c r="A143" s="209">
        <v>8.3000000000000007</v>
      </c>
      <c r="B143" s="340" t="s">
        <v>298</v>
      </c>
      <c r="C143" s="56">
        <v>1500</v>
      </c>
      <c r="D143" s="341">
        <f>+' Qtr-1 April-24 to June-24 '!F399</f>
        <v>850</v>
      </c>
      <c r="E143" s="341">
        <f>+' Qtr- 2 July-24 to Sept-24  (2)'!F363</f>
        <v>0</v>
      </c>
      <c r="F143" s="341">
        <f>+' Qtr-3 Octo-24 to Dec-24'!F419</f>
        <v>0</v>
      </c>
      <c r="G143" s="341">
        <f>+' Qtr-4 Jan-25 to march-25'!F383</f>
        <v>0</v>
      </c>
      <c r="H143" s="341">
        <f>SUM(D143:G143)</f>
        <v>850</v>
      </c>
      <c r="I143" s="342">
        <f t="shared" si="33"/>
        <v>0.56666666666666665</v>
      </c>
      <c r="J143" s="343">
        <f>C143-H143</f>
        <v>650</v>
      </c>
      <c r="K143" s="342">
        <f t="shared" si="34"/>
        <v>0.43333333333333335</v>
      </c>
      <c r="L143" s="558"/>
    </row>
    <row r="144" spans="1:12" x14ac:dyDescent="0.25">
      <c r="A144" s="209">
        <v>8.4</v>
      </c>
      <c r="B144" s="340" t="s">
        <v>300</v>
      </c>
      <c r="C144" s="56">
        <v>12000</v>
      </c>
      <c r="D144" s="341">
        <f>+' Qtr-1 April-24 to June-24 '!F402</f>
        <v>0</v>
      </c>
      <c r="E144" s="341">
        <f>+' Qtr- 2 July-24 to Sept-24  (2)'!F366</f>
        <v>0</v>
      </c>
      <c r="F144" s="341">
        <f>+' Qtr-3 Octo-24 to Dec-24'!F422</f>
        <v>0</v>
      </c>
      <c r="G144" s="341">
        <f>+' Qtr-4 Jan-25 to march-25'!F386</f>
        <v>0</v>
      </c>
      <c r="H144" s="341">
        <f>SUM(D144:G144)</f>
        <v>0</v>
      </c>
      <c r="I144" s="342">
        <f t="shared" si="33"/>
        <v>0</v>
      </c>
      <c r="J144" s="343">
        <f>C144-H144</f>
        <v>12000</v>
      </c>
      <c r="K144" s="342">
        <f t="shared" si="34"/>
        <v>1</v>
      </c>
      <c r="L144" s="341"/>
    </row>
    <row r="145" spans="1:12" x14ac:dyDescent="0.25">
      <c r="A145" s="209">
        <v>8.5</v>
      </c>
      <c r="B145" s="340" t="s">
        <v>302</v>
      </c>
      <c r="C145" s="56">
        <v>8000</v>
      </c>
      <c r="D145" s="341">
        <f>+' Qtr-1 April-24 to June-24 '!F406</f>
        <v>0</v>
      </c>
      <c r="E145" s="341">
        <f>+' Qtr- 2 July-24 to Sept-24  (2)'!F370</f>
        <v>0</v>
      </c>
      <c r="F145" s="341">
        <f>+' Qtr-3 Octo-24 to Dec-24'!F426</f>
        <v>1200</v>
      </c>
      <c r="G145" s="341">
        <f>+' Qtr-4 Jan-25 to march-25'!F390</f>
        <v>0</v>
      </c>
      <c r="H145" s="341">
        <f>SUM(D145:G145)</f>
        <v>1200</v>
      </c>
      <c r="I145" s="342">
        <f t="shared" si="33"/>
        <v>0.15</v>
      </c>
      <c r="J145" s="343">
        <f>C145-H145</f>
        <v>6800</v>
      </c>
      <c r="K145" s="342">
        <f>J145/C145</f>
        <v>0.85</v>
      </c>
      <c r="L145" s="341"/>
    </row>
    <row r="146" spans="1:12" x14ac:dyDescent="0.25">
      <c r="A146" s="405"/>
      <c r="B146" s="406" t="s">
        <v>307</v>
      </c>
      <c r="C146" s="391">
        <f t="shared" ref="C146:H146" si="35">SUM(C141:C145)</f>
        <v>147500</v>
      </c>
      <c r="D146" s="396">
        <f t="shared" si="35"/>
        <v>33247.380000000005</v>
      </c>
      <c r="E146" s="396">
        <f t="shared" si="35"/>
        <v>28965.9</v>
      </c>
      <c r="F146" s="396">
        <f t="shared" si="35"/>
        <v>30424.12</v>
      </c>
      <c r="G146" s="396">
        <f t="shared" si="35"/>
        <v>0</v>
      </c>
      <c r="H146" s="396">
        <f t="shared" si="35"/>
        <v>92637.4</v>
      </c>
      <c r="I146" s="392">
        <f t="shared" si="33"/>
        <v>0.62805016949152537</v>
      </c>
      <c r="J146" s="396">
        <f>SUM(J141:J145)</f>
        <v>54862.6</v>
      </c>
      <c r="K146" s="392">
        <f t="shared" si="34"/>
        <v>0.37194983050847458</v>
      </c>
      <c r="L146" s="396">
        <f>SUM(L141:L145)</f>
        <v>0</v>
      </c>
    </row>
    <row r="147" spans="1:12" x14ac:dyDescent="0.25">
      <c r="A147" s="407"/>
      <c r="B147" s="408" t="s">
        <v>308</v>
      </c>
      <c r="C147" s="560">
        <f t="shared" ref="C147:H147" si="36">SUM(C146,C139,C133,C126,C123)</f>
        <v>2675000</v>
      </c>
      <c r="D147" s="409">
        <f t="shared" si="36"/>
        <v>535974.38</v>
      </c>
      <c r="E147" s="409">
        <f t="shared" si="36"/>
        <v>764364.9</v>
      </c>
      <c r="F147" s="409">
        <f t="shared" si="36"/>
        <v>579057.12</v>
      </c>
      <c r="G147" s="409">
        <f t="shared" si="36"/>
        <v>0</v>
      </c>
      <c r="H147" s="409">
        <f t="shared" si="36"/>
        <v>1879396.4</v>
      </c>
      <c r="I147" s="580">
        <f t="shared" si="33"/>
        <v>0.70257809345794386</v>
      </c>
      <c r="J147" s="409">
        <f>SUM(J146,J139,J133,J126,J123)</f>
        <v>795603.6</v>
      </c>
      <c r="K147" s="580">
        <f t="shared" si="34"/>
        <v>0.29742190654205608</v>
      </c>
      <c r="L147" s="245">
        <f>SUM(L146,L139,L133,L126,L123)</f>
        <v>0</v>
      </c>
    </row>
    <row r="148" spans="1:12" x14ac:dyDescent="0.25">
      <c r="H148" s="553">
        <f>D147+E147+F147</f>
        <v>1879396.4</v>
      </c>
      <c r="J148" s="553">
        <f>C147-H148</f>
        <v>795603.60000000009</v>
      </c>
    </row>
  </sheetData>
  <mergeCells count="14">
    <mergeCell ref="B1:D1"/>
    <mergeCell ref="A2:L2"/>
    <mergeCell ref="A3:L3"/>
    <mergeCell ref="A4:A5"/>
    <mergeCell ref="B4:B5"/>
    <mergeCell ref="D4:D5"/>
    <mergeCell ref="E4:E5"/>
    <mergeCell ref="F4:F5"/>
    <mergeCell ref="G4:G5"/>
    <mergeCell ref="H4:H5"/>
    <mergeCell ref="I4:I5"/>
    <mergeCell ref="J4:J5"/>
    <mergeCell ref="K4:K5"/>
    <mergeCell ref="L4:L5"/>
  </mergeCells>
  <pageMargins left="0.23611111111111099" right="0.23611111111111099" top="0.35416666666666702" bottom="0.35416666666666702" header="0.511811023622047" footer="0.511811023622047"/>
  <pageSetup paperSize="9" scale="85" orientation="landscape"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11"/>
  <sheetViews>
    <sheetView zoomScale="85" zoomScaleNormal="85" workbookViewId="0">
      <pane xSplit="2" ySplit="13" topLeftCell="C404" activePane="bottomRight" state="frozen"/>
      <selection pane="topRight" activeCell="C1" sqref="C1"/>
      <selection pane="bottomLeft" activeCell="A402" sqref="A402"/>
      <selection pane="bottomRight" activeCell="F419" sqref="F419"/>
    </sheetView>
  </sheetViews>
  <sheetFormatPr defaultColWidth="8.7109375" defaultRowHeight="15" x14ac:dyDescent="0.25"/>
  <cols>
    <col min="1" max="1" width="5.85546875" customWidth="1"/>
    <col min="2" max="2" width="52.5703125" customWidth="1"/>
    <col min="3" max="3" width="11.7109375" customWidth="1"/>
    <col min="4" max="4" width="13.85546875" style="410" customWidth="1"/>
    <col min="5" max="5" width="11.28515625" style="410" customWidth="1"/>
    <col min="6" max="6" width="11.85546875" style="410" customWidth="1"/>
    <col min="7" max="7" width="11.5703125" style="410" customWidth="1"/>
    <col min="8" max="8" width="13.7109375" style="410" customWidth="1"/>
    <col min="9" max="9" width="9.5703125" style="410" customWidth="1"/>
    <col min="10" max="10" width="37.5703125" customWidth="1"/>
  </cols>
  <sheetData>
    <row r="1" spans="1:9" x14ac:dyDescent="0.25">
      <c r="B1" s="581" t="s">
        <v>0</v>
      </c>
      <c r="C1" s="581"/>
      <c r="D1" s="581"/>
    </row>
    <row r="2" spans="1:9" x14ac:dyDescent="0.25">
      <c r="A2" s="628" t="s">
        <v>354</v>
      </c>
      <c r="B2" s="628"/>
      <c r="C2" s="628"/>
      <c r="D2" s="628"/>
      <c r="E2" s="628"/>
      <c r="F2" s="628"/>
      <c r="G2" s="628"/>
      <c r="H2" s="628"/>
      <c r="I2" s="628"/>
    </row>
    <row r="3" spans="1:9" ht="28.5" customHeight="1" x14ac:dyDescent="0.25">
      <c r="A3" s="629" t="s">
        <v>355</v>
      </c>
      <c r="B3" s="629"/>
      <c r="C3" s="629"/>
      <c r="D3" s="629"/>
      <c r="E3" s="629"/>
      <c r="F3" s="629"/>
      <c r="G3" s="629"/>
      <c r="H3" s="629"/>
      <c r="I3" s="629"/>
    </row>
    <row r="4" spans="1:9" ht="15.75" customHeight="1" x14ac:dyDescent="0.25">
      <c r="A4" s="630"/>
      <c r="B4" s="630"/>
      <c r="C4" s="630"/>
      <c r="D4" s="631" t="s">
        <v>356</v>
      </c>
      <c r="E4" s="624" t="s">
        <v>357</v>
      </c>
      <c r="F4" s="624"/>
      <c r="G4" s="625"/>
      <c r="H4" s="625"/>
      <c r="I4" s="625"/>
    </row>
    <row r="5" spans="1:9" x14ac:dyDescent="0.25">
      <c r="A5" s="630"/>
      <c r="B5" s="630"/>
      <c r="C5" s="630"/>
      <c r="D5" s="631"/>
      <c r="E5" s="411" t="s">
        <v>358</v>
      </c>
      <c r="F5" s="412"/>
      <c r="G5" s="625"/>
      <c r="H5" s="625"/>
      <c r="I5" s="625"/>
    </row>
    <row r="6" spans="1:9" ht="15.75" customHeight="1" x14ac:dyDescent="0.25">
      <c r="A6" s="620" t="s">
        <v>359</v>
      </c>
      <c r="B6" s="620"/>
      <c r="C6" s="413"/>
      <c r="D6" s="414" t="s">
        <v>360</v>
      </c>
      <c r="E6" s="621" t="s">
        <v>361</v>
      </c>
      <c r="F6" s="621"/>
      <c r="G6" s="621"/>
      <c r="H6" s="622" t="s">
        <v>362</v>
      </c>
      <c r="I6" s="622"/>
    </row>
    <row r="7" spans="1:9" x14ac:dyDescent="0.25">
      <c r="A7" s="623" t="s">
        <v>614</v>
      </c>
      <c r="B7" s="623"/>
      <c r="C7" s="415"/>
      <c r="D7" s="416">
        <v>67601.600000000006</v>
      </c>
      <c r="E7" s="417"/>
      <c r="F7" s="418"/>
      <c r="G7" s="418"/>
      <c r="H7" s="418"/>
      <c r="I7" s="419"/>
    </row>
    <row r="8" spans="1:9" x14ac:dyDescent="0.25">
      <c r="A8" s="623" t="s">
        <v>363</v>
      </c>
      <c r="B8" s="623"/>
      <c r="C8" s="415"/>
      <c r="D8" s="420">
        <v>0</v>
      </c>
      <c r="E8" s="421"/>
      <c r="F8" s="421"/>
      <c r="G8" s="421"/>
      <c r="H8" s="421"/>
      <c r="I8" s="421"/>
    </row>
    <row r="9" spans="1:9" x14ac:dyDescent="0.25">
      <c r="A9" s="626" t="s">
        <v>364</v>
      </c>
      <c r="B9" s="626"/>
      <c r="C9" s="422"/>
      <c r="D9" s="423">
        <f>D7+D8</f>
        <v>67601.600000000006</v>
      </c>
      <c r="E9" s="627"/>
      <c r="F9" s="627"/>
      <c r="G9" s="627"/>
      <c r="H9" s="627"/>
      <c r="I9" s="424"/>
    </row>
    <row r="10" spans="1:9" x14ac:dyDescent="0.25">
      <c r="A10" s="552"/>
      <c r="B10" s="552" t="s">
        <v>615</v>
      </c>
      <c r="C10" s="422"/>
      <c r="D10" s="423">
        <v>2150</v>
      </c>
      <c r="E10" s="554"/>
      <c r="F10" s="554"/>
      <c r="G10" s="554"/>
      <c r="H10" s="554"/>
      <c r="I10" s="424"/>
    </row>
    <row r="11" spans="1:9" ht="14.25" customHeight="1" x14ac:dyDescent="0.25">
      <c r="A11" s="617" t="s">
        <v>365</v>
      </c>
      <c r="B11" s="617"/>
      <c r="C11" s="425"/>
      <c r="D11" s="426">
        <v>577475</v>
      </c>
      <c r="E11" s="618" t="s">
        <v>366</v>
      </c>
      <c r="F11" s="618"/>
      <c r="G11" s="618"/>
      <c r="H11" s="618"/>
      <c r="I11" s="618"/>
    </row>
    <row r="12" spans="1:9" x14ac:dyDescent="0.25">
      <c r="A12" s="619" t="s">
        <v>367</v>
      </c>
      <c r="B12" s="619"/>
      <c r="C12" s="427"/>
      <c r="D12" s="428">
        <f>SUM(D9:D11)</f>
        <v>647226.6</v>
      </c>
      <c r="E12" s="618"/>
      <c r="F12" s="618"/>
      <c r="G12" s="618"/>
      <c r="H12" s="618"/>
      <c r="I12" s="618"/>
    </row>
    <row r="13" spans="1:9" ht="58.5" customHeight="1" x14ac:dyDescent="0.25">
      <c r="A13" s="429" t="s">
        <v>368</v>
      </c>
      <c r="B13" s="430" t="s">
        <v>369</v>
      </c>
      <c r="C13" s="430" t="s">
        <v>370</v>
      </c>
      <c r="D13" s="431" t="s">
        <v>371</v>
      </c>
      <c r="E13" s="432" t="s">
        <v>372</v>
      </c>
      <c r="F13" s="433" t="s">
        <v>373</v>
      </c>
      <c r="G13" s="434" t="s">
        <v>374</v>
      </c>
      <c r="H13" s="435" t="s">
        <v>375</v>
      </c>
      <c r="I13" s="436" t="s">
        <v>376</v>
      </c>
    </row>
    <row r="14" spans="1:9" x14ac:dyDescent="0.25">
      <c r="A14" s="42">
        <v>1</v>
      </c>
      <c r="B14" s="337" t="s">
        <v>56</v>
      </c>
      <c r="C14" s="338"/>
      <c r="D14" s="437"/>
      <c r="E14" s="437"/>
      <c r="F14" s="437"/>
      <c r="G14" s="437"/>
      <c r="H14" s="437"/>
      <c r="I14" s="437"/>
    </row>
    <row r="15" spans="1:9" x14ac:dyDescent="0.25">
      <c r="A15" s="50">
        <v>1.1000000000000001</v>
      </c>
      <c r="B15" s="51" t="s">
        <v>58</v>
      </c>
      <c r="C15" s="56">
        <v>0</v>
      </c>
      <c r="D15" s="438"/>
      <c r="E15" s="438"/>
      <c r="F15" s="438"/>
      <c r="G15" s="438"/>
      <c r="H15" s="438"/>
      <c r="I15" s="438"/>
    </row>
    <row r="16" spans="1:9" ht="28.5" customHeight="1" x14ac:dyDescent="0.25">
      <c r="A16" s="50"/>
      <c r="B16" s="51"/>
      <c r="C16" s="56"/>
      <c r="D16" s="438"/>
      <c r="E16" s="438"/>
      <c r="F16" s="438"/>
      <c r="G16" s="438"/>
      <c r="H16" s="438"/>
      <c r="I16" s="438"/>
    </row>
    <row r="17" spans="1:9" x14ac:dyDescent="0.25">
      <c r="A17" s="439"/>
      <c r="B17" s="440" t="s">
        <v>377</v>
      </c>
      <c r="C17" s="441"/>
      <c r="D17" s="442">
        <v>0</v>
      </c>
      <c r="E17" s="443"/>
      <c r="F17" s="443">
        <f>SUM(F16:F16)</f>
        <v>0</v>
      </c>
      <c r="G17" s="443"/>
      <c r="H17" s="444">
        <f>D17-F17</f>
        <v>0</v>
      </c>
      <c r="I17" s="443">
        <f>SUM(I16:I16)</f>
        <v>0</v>
      </c>
    </row>
    <row r="18" spans="1:9" x14ac:dyDescent="0.25">
      <c r="A18" s="445">
        <v>1.2</v>
      </c>
      <c r="B18" s="446" t="s">
        <v>59</v>
      </c>
      <c r="C18" s="66"/>
      <c r="D18" s="447"/>
      <c r="E18" s="447"/>
      <c r="F18" s="447"/>
      <c r="G18" s="447"/>
      <c r="H18" s="447"/>
      <c r="I18" s="447"/>
    </row>
    <row r="19" spans="1:9" ht="25.5" x14ac:dyDescent="0.25">
      <c r="A19" s="70" t="s">
        <v>60</v>
      </c>
      <c r="B19" s="51" t="s">
        <v>61</v>
      </c>
      <c r="C19" s="448">
        <v>79920</v>
      </c>
      <c r="D19" s="438"/>
      <c r="E19" s="438"/>
      <c r="F19" s="438"/>
      <c r="G19" s="438"/>
      <c r="H19" s="438"/>
      <c r="I19" s="438"/>
    </row>
    <row r="20" spans="1:9" ht="63.75" x14ac:dyDescent="0.25">
      <c r="A20" s="70"/>
      <c r="B20" s="51" t="s">
        <v>378</v>
      </c>
      <c r="C20" s="56"/>
      <c r="D20" s="438"/>
      <c r="E20" s="438" t="s">
        <v>379</v>
      </c>
      <c r="F20" s="438">
        <v>6555</v>
      </c>
      <c r="G20" s="438" t="s">
        <v>380</v>
      </c>
      <c r="H20" s="438"/>
      <c r="I20" s="438"/>
    </row>
    <row r="21" spans="1:9" ht="63.75" x14ac:dyDescent="0.25">
      <c r="A21" s="70"/>
      <c r="B21" s="51" t="s">
        <v>381</v>
      </c>
      <c r="C21" s="56"/>
      <c r="D21" s="438"/>
      <c r="E21" s="438" t="s">
        <v>382</v>
      </c>
      <c r="F21" s="438">
        <v>6300</v>
      </c>
      <c r="G21" s="438" t="s">
        <v>383</v>
      </c>
      <c r="H21" s="438"/>
      <c r="I21" s="438"/>
    </row>
    <row r="22" spans="1:9" ht="63.75" x14ac:dyDescent="0.25">
      <c r="A22" s="70"/>
      <c r="B22" s="51" t="s">
        <v>384</v>
      </c>
      <c r="C22" s="56"/>
      <c r="D22" s="438"/>
      <c r="E22" s="438" t="s">
        <v>385</v>
      </c>
      <c r="F22" s="438">
        <v>6510</v>
      </c>
      <c r="G22" s="438" t="s">
        <v>386</v>
      </c>
      <c r="H22" s="438"/>
      <c r="I22" s="438"/>
    </row>
    <row r="23" spans="1:9" ht="25.5" x14ac:dyDescent="0.25">
      <c r="A23" s="449"/>
      <c r="B23" s="440" t="s">
        <v>387</v>
      </c>
      <c r="C23" s="441"/>
      <c r="D23" s="450">
        <v>19980</v>
      </c>
      <c r="E23" s="450"/>
      <c r="F23" s="450">
        <f>SUM(F20:F22)</f>
        <v>19365</v>
      </c>
      <c r="G23" s="450"/>
      <c r="H23" s="450">
        <f>D23-F23</f>
        <v>615</v>
      </c>
      <c r="I23" s="450">
        <f>SUM(I20:I22)</f>
        <v>0</v>
      </c>
    </row>
    <row r="24" spans="1:9" x14ac:dyDescent="0.25">
      <c r="A24" s="72"/>
      <c r="B24" s="451" t="s">
        <v>63</v>
      </c>
      <c r="C24" s="75">
        <f>SUM(C15,C19)</f>
        <v>79920</v>
      </c>
      <c r="D24" s="75">
        <f>D23+D17</f>
        <v>19980</v>
      </c>
      <c r="E24" s="75"/>
      <c r="F24" s="75">
        <f>SUM(F23)</f>
        <v>19365</v>
      </c>
      <c r="G24" s="75"/>
      <c r="H24" s="75">
        <f>D24-F24</f>
        <v>615</v>
      </c>
      <c r="I24" s="75">
        <f>SUM(I23)</f>
        <v>0</v>
      </c>
    </row>
    <row r="25" spans="1:9" ht="63.75" x14ac:dyDescent="0.25">
      <c r="A25" s="445">
        <v>1.3</v>
      </c>
      <c r="B25" s="452" t="s">
        <v>64</v>
      </c>
      <c r="C25" s="352"/>
      <c r="D25" s="447"/>
      <c r="E25" s="447"/>
      <c r="F25" s="447"/>
      <c r="G25" s="447"/>
      <c r="H25" s="447"/>
      <c r="I25" s="447"/>
    </row>
    <row r="26" spans="1:9" ht="28.5" customHeight="1" x14ac:dyDescent="0.25">
      <c r="A26" s="70" t="s">
        <v>65</v>
      </c>
      <c r="B26" s="51" t="s">
        <v>66</v>
      </c>
      <c r="C26" s="56">
        <v>2000</v>
      </c>
      <c r="D26" s="438"/>
      <c r="E26" s="438"/>
      <c r="F26" s="438"/>
      <c r="G26" s="438"/>
      <c r="H26" s="438"/>
      <c r="I26" s="438"/>
    </row>
    <row r="27" spans="1:9" ht="51" x14ac:dyDescent="0.25">
      <c r="A27" s="70"/>
      <c r="B27" s="51" t="s">
        <v>388</v>
      </c>
      <c r="C27" s="56"/>
      <c r="D27" s="438"/>
      <c r="E27" s="438" t="s">
        <v>389</v>
      </c>
      <c r="F27" s="438">
        <v>1750</v>
      </c>
      <c r="G27" s="438" t="s">
        <v>390</v>
      </c>
      <c r="H27" s="438"/>
      <c r="I27" s="438"/>
    </row>
    <row r="28" spans="1:9" ht="63.75" x14ac:dyDescent="0.25">
      <c r="A28" s="70"/>
      <c r="B28" s="51" t="s">
        <v>391</v>
      </c>
      <c r="C28" s="56"/>
      <c r="D28" s="438"/>
      <c r="E28" s="438" t="s">
        <v>389</v>
      </c>
      <c r="F28" s="438">
        <v>210</v>
      </c>
      <c r="G28" s="438" t="s">
        <v>392</v>
      </c>
      <c r="H28" s="438"/>
      <c r="I28" s="438"/>
    </row>
    <row r="29" spans="1:9" x14ac:dyDescent="0.25">
      <c r="A29" s="70"/>
      <c r="B29" s="51"/>
      <c r="C29" s="56"/>
      <c r="D29" s="438"/>
      <c r="E29" s="438"/>
      <c r="F29" s="438"/>
      <c r="G29" s="438"/>
      <c r="H29" s="438"/>
      <c r="I29" s="438"/>
    </row>
    <row r="30" spans="1:9" x14ac:dyDescent="0.25">
      <c r="A30" s="449"/>
      <c r="B30" s="440" t="s">
        <v>393</v>
      </c>
      <c r="C30" s="441"/>
      <c r="D30" s="443">
        <v>2000</v>
      </c>
      <c r="E30" s="443"/>
      <c r="F30" s="443">
        <f>SUM(F27:F29)</f>
        <v>1960</v>
      </c>
      <c r="G30" s="443"/>
      <c r="H30" s="444">
        <f>D30-F30</f>
        <v>40</v>
      </c>
      <c r="I30" s="443">
        <f>SUM(I27:I29)</f>
        <v>0</v>
      </c>
    </row>
    <row r="31" spans="1:9" ht="16.5" customHeight="1" x14ac:dyDescent="0.25">
      <c r="A31" s="70" t="s">
        <v>68</v>
      </c>
      <c r="B31" s="84" t="s">
        <v>69</v>
      </c>
      <c r="C31" s="56">
        <v>12480</v>
      </c>
      <c r="D31" s="438"/>
      <c r="E31" s="438"/>
      <c r="F31" s="438"/>
      <c r="G31" s="438"/>
      <c r="H31" s="438"/>
      <c r="I31" s="438"/>
    </row>
    <row r="32" spans="1:9" ht="63.75" x14ac:dyDescent="0.25">
      <c r="A32" s="70"/>
      <c r="B32" s="84" t="s">
        <v>394</v>
      </c>
      <c r="C32" s="56"/>
      <c r="D32" s="438"/>
      <c r="E32" s="438" t="s">
        <v>389</v>
      </c>
      <c r="F32" s="438">
        <v>3120</v>
      </c>
      <c r="G32" s="438" t="s">
        <v>395</v>
      </c>
      <c r="H32" s="438"/>
      <c r="I32" s="438"/>
    </row>
    <row r="33" spans="1:9" x14ac:dyDescent="0.25">
      <c r="A33" s="70"/>
      <c r="B33" s="84"/>
      <c r="C33" s="56"/>
      <c r="D33" s="438"/>
      <c r="E33" s="438"/>
      <c r="F33" s="438"/>
      <c r="G33" s="438"/>
      <c r="H33" s="438"/>
      <c r="I33" s="438"/>
    </row>
    <row r="34" spans="1:9" x14ac:dyDescent="0.25">
      <c r="A34" s="70"/>
      <c r="B34" s="84"/>
      <c r="C34" s="56"/>
      <c r="D34" s="438"/>
      <c r="E34" s="438"/>
      <c r="F34" s="438"/>
      <c r="G34" s="438"/>
      <c r="H34" s="438"/>
      <c r="I34" s="438"/>
    </row>
    <row r="35" spans="1:9" x14ac:dyDescent="0.25">
      <c r="A35" s="449"/>
      <c r="B35" s="453" t="s">
        <v>396</v>
      </c>
      <c r="C35" s="441"/>
      <c r="D35" s="443">
        <v>3120</v>
      </c>
      <c r="E35" s="443"/>
      <c r="F35" s="443">
        <f>SUM(F32:F34)</f>
        <v>3120</v>
      </c>
      <c r="G35" s="443"/>
      <c r="H35" s="444">
        <f>D35-F35</f>
        <v>0</v>
      </c>
      <c r="I35" s="443">
        <f>SUM(I32:I34)</f>
        <v>0</v>
      </c>
    </row>
    <row r="36" spans="1:9" ht="28.5" customHeight="1" x14ac:dyDescent="0.25">
      <c r="A36" s="70" t="s">
        <v>72</v>
      </c>
      <c r="B36" s="51" t="s">
        <v>73</v>
      </c>
      <c r="C36" s="56">
        <v>20000</v>
      </c>
      <c r="D36" s="438"/>
      <c r="E36" s="438"/>
      <c r="F36" s="438"/>
      <c r="G36" s="438"/>
      <c r="H36" s="438"/>
      <c r="I36" s="438"/>
    </row>
    <row r="37" spans="1:9" ht="63.75" x14ac:dyDescent="0.25">
      <c r="A37" s="70"/>
      <c r="B37" s="51" t="s">
        <v>397</v>
      </c>
      <c r="C37" s="56"/>
      <c r="D37" s="438"/>
      <c r="E37" s="438" t="s">
        <v>389</v>
      </c>
      <c r="F37" s="438">
        <v>5000</v>
      </c>
      <c r="G37" s="438" t="s">
        <v>398</v>
      </c>
      <c r="H37" s="438"/>
      <c r="I37" s="438"/>
    </row>
    <row r="38" spans="1:9" x14ac:dyDescent="0.25">
      <c r="A38" s="70"/>
      <c r="B38" s="51"/>
      <c r="C38" s="56"/>
      <c r="D38" s="438"/>
      <c r="E38" s="438"/>
      <c r="F38" s="438"/>
      <c r="G38" s="438"/>
      <c r="H38" s="438"/>
      <c r="I38" s="438"/>
    </row>
    <row r="39" spans="1:9" x14ac:dyDescent="0.25">
      <c r="A39" s="449"/>
      <c r="B39" s="440" t="s">
        <v>399</v>
      </c>
      <c r="C39" s="441"/>
      <c r="D39" s="443">
        <v>5000</v>
      </c>
      <c r="E39" s="443"/>
      <c r="F39" s="443">
        <f>SUM(F37:F38)</f>
        <v>5000</v>
      </c>
      <c r="G39" s="443"/>
      <c r="H39" s="444">
        <f>D39-F39</f>
        <v>0</v>
      </c>
      <c r="I39" s="443">
        <f>SUM(I37:I38)</f>
        <v>0</v>
      </c>
    </row>
    <row r="40" spans="1:9" x14ac:dyDescent="0.25">
      <c r="A40" s="70" t="s">
        <v>76</v>
      </c>
      <c r="B40" s="51" t="s">
        <v>77</v>
      </c>
      <c r="C40" s="56">
        <v>2000</v>
      </c>
      <c r="D40" s="438"/>
      <c r="E40" s="438"/>
      <c r="F40" s="438"/>
      <c r="G40" s="438"/>
      <c r="H40" s="438"/>
      <c r="I40" s="438"/>
    </row>
    <row r="41" spans="1:9" ht="63.75" x14ac:dyDescent="0.25">
      <c r="A41" s="70"/>
      <c r="B41" s="51" t="s">
        <v>400</v>
      </c>
      <c r="C41" s="56"/>
      <c r="D41" s="438"/>
      <c r="E41" s="438" t="s">
        <v>389</v>
      </c>
      <c r="F41" s="438">
        <v>500</v>
      </c>
      <c r="G41" s="438" t="s">
        <v>401</v>
      </c>
      <c r="H41" s="438"/>
      <c r="I41" s="438"/>
    </row>
    <row r="42" spans="1:9" x14ac:dyDescent="0.25">
      <c r="A42" s="70"/>
      <c r="B42" s="51"/>
      <c r="C42" s="56"/>
      <c r="D42" s="438"/>
      <c r="E42" s="438"/>
      <c r="F42" s="438"/>
      <c r="G42" s="438"/>
      <c r="H42" s="438"/>
      <c r="I42" s="438"/>
    </row>
    <row r="43" spans="1:9" ht="25.5" x14ac:dyDescent="0.25">
      <c r="A43" s="449"/>
      <c r="B43" s="440" t="s">
        <v>402</v>
      </c>
      <c r="C43" s="441"/>
      <c r="D43" s="443">
        <v>500</v>
      </c>
      <c r="E43" s="443"/>
      <c r="F43" s="443">
        <f>SUM(F41:F42)</f>
        <v>500</v>
      </c>
      <c r="G43" s="443"/>
      <c r="H43" s="444">
        <f>D43-F43</f>
        <v>0</v>
      </c>
      <c r="I43" s="443">
        <f>SUM(I41:I42)</f>
        <v>0</v>
      </c>
    </row>
    <row r="44" spans="1:9" x14ac:dyDescent="0.25">
      <c r="A44" s="85"/>
      <c r="B44" s="451" t="s">
        <v>79</v>
      </c>
      <c r="C44" s="75">
        <f>SUM(C26:C40)</f>
        <v>36480</v>
      </c>
      <c r="D44" s="454">
        <f>SUM(D43,D39,D35,D30)</f>
        <v>10620</v>
      </c>
      <c r="E44" s="455"/>
      <c r="F44" s="454">
        <f>SUM(F43,F39,F35,F30)</f>
        <v>10580</v>
      </c>
      <c r="G44" s="455"/>
      <c r="H44" s="456">
        <f>D44-F44</f>
        <v>40</v>
      </c>
      <c r="I44" s="454">
        <f>SUM(I43,I39,I35,I30)</f>
        <v>0</v>
      </c>
    </row>
    <row r="45" spans="1:9" ht="63.75" x14ac:dyDescent="0.25">
      <c r="A45" s="445">
        <v>1.4</v>
      </c>
      <c r="B45" s="452" t="s">
        <v>80</v>
      </c>
      <c r="C45" s="352"/>
      <c r="D45" s="447"/>
      <c r="E45" s="447"/>
      <c r="F45" s="447"/>
      <c r="G45" s="447"/>
      <c r="H45" s="447"/>
      <c r="I45" s="447"/>
    </row>
    <row r="46" spans="1:9" x14ac:dyDescent="0.25">
      <c r="A46" s="90" t="s">
        <v>81</v>
      </c>
      <c r="B46" s="51" t="s">
        <v>82</v>
      </c>
      <c r="C46" s="56">
        <v>8000</v>
      </c>
      <c r="D46" s="438"/>
      <c r="E46" s="438"/>
      <c r="F46" s="438"/>
      <c r="G46" s="438"/>
      <c r="H46" s="438"/>
      <c r="I46" s="438"/>
    </row>
    <row r="47" spans="1:9" ht="63.75" x14ac:dyDescent="0.25">
      <c r="A47" s="90"/>
      <c r="B47" s="51" t="s">
        <v>403</v>
      </c>
      <c r="C47" s="56"/>
      <c r="D47" s="438"/>
      <c r="E47" s="438" t="s">
        <v>404</v>
      </c>
      <c r="F47" s="438">
        <v>240</v>
      </c>
      <c r="G47" s="438" t="s">
        <v>405</v>
      </c>
      <c r="H47" s="438"/>
      <c r="I47" s="438"/>
    </row>
    <row r="48" spans="1:9" ht="51" x14ac:dyDescent="0.25">
      <c r="A48" s="90"/>
      <c r="B48" s="51" t="s">
        <v>406</v>
      </c>
      <c r="C48" s="56"/>
      <c r="D48" s="438"/>
      <c r="E48" s="438" t="s">
        <v>404</v>
      </c>
      <c r="F48" s="438">
        <v>1750</v>
      </c>
      <c r="G48" s="438" t="s">
        <v>407</v>
      </c>
      <c r="H48" s="438"/>
      <c r="I48" s="438"/>
    </row>
    <row r="49" spans="1:10" x14ac:dyDescent="0.25">
      <c r="A49" s="449"/>
      <c r="B49" s="440" t="s">
        <v>408</v>
      </c>
      <c r="C49" s="441"/>
      <c r="D49" s="443">
        <v>2000</v>
      </c>
      <c r="E49" s="443"/>
      <c r="F49" s="443">
        <f>SUM(F47:F48)</f>
        <v>1990</v>
      </c>
      <c r="G49" s="443"/>
      <c r="H49" s="444">
        <f>D49-F49</f>
        <v>10</v>
      </c>
      <c r="I49" s="443">
        <f>SUM(I47:I48)</f>
        <v>0</v>
      </c>
    </row>
    <row r="50" spans="1:10" ht="25.5" x14ac:dyDescent="0.25">
      <c r="A50" s="90" t="s">
        <v>83</v>
      </c>
      <c r="B50" s="51" t="s">
        <v>84</v>
      </c>
      <c r="C50" s="56">
        <v>19680</v>
      </c>
      <c r="D50" s="438"/>
      <c r="E50" s="438"/>
      <c r="F50" s="438"/>
      <c r="G50" s="438"/>
      <c r="H50" s="438"/>
      <c r="I50" s="438"/>
    </row>
    <row r="51" spans="1:10" ht="63.75" x14ac:dyDescent="0.25">
      <c r="A51" s="90"/>
      <c r="B51" s="51" t="s">
        <v>409</v>
      </c>
      <c r="C51" s="56"/>
      <c r="D51" s="438"/>
      <c r="E51" s="438" t="s">
        <v>404</v>
      </c>
      <c r="F51" s="438">
        <v>4920</v>
      </c>
      <c r="G51" s="438" t="s">
        <v>410</v>
      </c>
      <c r="H51" s="438"/>
      <c r="I51" s="438"/>
    </row>
    <row r="52" spans="1:10" x14ac:dyDescent="0.25">
      <c r="A52" s="90"/>
      <c r="B52" s="51"/>
      <c r="C52" s="56"/>
      <c r="D52" s="438"/>
      <c r="E52" s="438"/>
      <c r="F52" s="438"/>
      <c r="G52" s="438"/>
      <c r="H52" s="438"/>
      <c r="I52" s="438"/>
    </row>
    <row r="53" spans="1:10" x14ac:dyDescent="0.25">
      <c r="A53" s="449"/>
      <c r="B53" s="440" t="s">
        <v>411</v>
      </c>
      <c r="C53" s="441"/>
      <c r="D53" s="443">
        <v>4920</v>
      </c>
      <c r="E53" s="443"/>
      <c r="F53" s="443">
        <f>SUM(F51:F52)</f>
        <v>4920</v>
      </c>
      <c r="G53" s="443"/>
      <c r="H53" s="444">
        <f>D53-F53</f>
        <v>0</v>
      </c>
      <c r="I53" s="443">
        <f>SUM(I51:I52)</f>
        <v>0</v>
      </c>
    </row>
    <row r="54" spans="1:10" ht="38.25" x14ac:dyDescent="0.25">
      <c r="A54" s="90" t="s">
        <v>85</v>
      </c>
      <c r="B54" s="51" t="s">
        <v>86</v>
      </c>
      <c r="C54" s="56">
        <v>30000</v>
      </c>
      <c r="D54" s="438"/>
      <c r="E54" s="438"/>
      <c r="F54" s="438"/>
      <c r="G54" s="438"/>
      <c r="H54" s="438"/>
      <c r="I54" s="438"/>
    </row>
    <row r="55" spans="1:10" ht="63.75" x14ac:dyDescent="0.25">
      <c r="A55" s="90"/>
      <c r="B55" s="51" t="s">
        <v>412</v>
      </c>
      <c r="C55" s="56"/>
      <c r="D55" s="438"/>
      <c r="E55" s="438" t="s">
        <v>404</v>
      </c>
      <c r="F55" s="438">
        <v>5000</v>
      </c>
      <c r="G55" s="438" t="s">
        <v>413</v>
      </c>
      <c r="H55" s="438"/>
      <c r="I55" s="438"/>
    </row>
    <row r="56" spans="1:10" x14ac:dyDescent="0.25">
      <c r="A56" s="90"/>
      <c r="B56" s="51"/>
      <c r="C56" s="56"/>
      <c r="D56" s="438"/>
      <c r="E56" s="438"/>
      <c r="F56" s="438"/>
      <c r="G56" s="438"/>
      <c r="H56" s="438"/>
      <c r="I56" s="438"/>
    </row>
    <row r="57" spans="1:10" x14ac:dyDescent="0.25">
      <c r="A57" s="449"/>
      <c r="B57" s="440" t="s">
        <v>414</v>
      </c>
      <c r="C57" s="441"/>
      <c r="D57" s="443">
        <v>7500</v>
      </c>
      <c r="E57" s="443"/>
      <c r="F57" s="443">
        <f>SUM(F55:F56)</f>
        <v>5000</v>
      </c>
      <c r="G57" s="443"/>
      <c r="H57" s="444">
        <f>D57-F57</f>
        <v>2500</v>
      </c>
      <c r="I57" s="443">
        <f>SUM(I55:I56)</f>
        <v>0</v>
      </c>
    </row>
    <row r="58" spans="1:10" x14ac:dyDescent="0.25">
      <c r="A58" s="90" t="s">
        <v>88</v>
      </c>
      <c r="B58" s="51" t="s">
        <v>77</v>
      </c>
      <c r="C58" s="56">
        <v>2000</v>
      </c>
      <c r="D58" s="438"/>
      <c r="E58" s="438"/>
      <c r="F58" s="438"/>
      <c r="G58" s="438"/>
      <c r="H58" s="438"/>
      <c r="I58" s="438"/>
    </row>
    <row r="59" spans="1:10" ht="54.75" customHeight="1" x14ac:dyDescent="0.25">
      <c r="A59" s="90"/>
      <c r="B59" s="51" t="s">
        <v>415</v>
      </c>
      <c r="C59" s="56"/>
      <c r="D59" s="438"/>
      <c r="E59" s="438" t="s">
        <v>404</v>
      </c>
      <c r="F59" s="438">
        <v>525</v>
      </c>
      <c r="G59" s="438" t="s">
        <v>416</v>
      </c>
      <c r="H59" s="438"/>
      <c r="I59" s="438"/>
    </row>
    <row r="60" spans="1:10" x14ac:dyDescent="0.25">
      <c r="A60" s="90"/>
      <c r="B60" s="51"/>
      <c r="C60" s="56"/>
      <c r="D60" s="438"/>
      <c r="E60" s="438"/>
      <c r="F60" s="438"/>
      <c r="G60" s="438"/>
      <c r="H60" s="438"/>
      <c r="I60" s="438"/>
    </row>
    <row r="61" spans="1:10" x14ac:dyDescent="0.25">
      <c r="A61" s="449"/>
      <c r="B61" s="440" t="s">
        <v>417</v>
      </c>
      <c r="C61" s="441"/>
      <c r="D61" s="443">
        <v>500</v>
      </c>
      <c r="E61" s="443"/>
      <c r="F61" s="443">
        <f>SUM(F59:F60)</f>
        <v>525</v>
      </c>
      <c r="G61" s="443"/>
      <c r="H61" s="444">
        <f>D61-F61</f>
        <v>-25</v>
      </c>
      <c r="I61" s="443">
        <f>SUM(I59:I60)</f>
        <v>0</v>
      </c>
    </row>
    <row r="62" spans="1:10" x14ac:dyDescent="0.25">
      <c r="A62" s="94"/>
      <c r="B62" s="457" t="s">
        <v>89</v>
      </c>
      <c r="C62" s="97">
        <f>SUM(C46:C58)</f>
        <v>59680</v>
      </c>
      <c r="D62" s="455">
        <f>SUM(D61,D57,D53,D49)</f>
        <v>14920</v>
      </c>
      <c r="E62" s="455"/>
      <c r="F62" s="455">
        <f>SUM(F61,F57,F53,F49)</f>
        <v>12435</v>
      </c>
      <c r="G62" s="455"/>
      <c r="H62" s="456">
        <f>D62-F62</f>
        <v>2485</v>
      </c>
      <c r="I62" s="455">
        <f>SUM(I61,I57,I53,I49)</f>
        <v>0</v>
      </c>
    </row>
    <row r="63" spans="1:10" x14ac:dyDescent="0.25">
      <c r="A63" s="445">
        <v>1.5</v>
      </c>
      <c r="B63" s="452" t="s">
        <v>90</v>
      </c>
      <c r="C63" s="352"/>
      <c r="D63" s="447"/>
      <c r="E63" s="447"/>
      <c r="F63" s="447"/>
      <c r="G63" s="447"/>
      <c r="H63" s="447"/>
      <c r="I63" s="447"/>
    </row>
    <row r="64" spans="1:10" ht="44.25" customHeight="1" x14ac:dyDescent="0.25">
      <c r="A64" s="90" t="s">
        <v>91</v>
      </c>
      <c r="B64" s="51" t="s">
        <v>346</v>
      </c>
      <c r="C64" s="56">
        <v>157320</v>
      </c>
      <c r="D64" s="438"/>
      <c r="E64" s="438"/>
      <c r="F64" s="438"/>
      <c r="G64" s="438"/>
      <c r="H64" s="438"/>
      <c r="I64" s="438"/>
      <c r="J64" s="458"/>
    </row>
    <row r="65" spans="1:10" x14ac:dyDescent="0.25">
      <c r="A65" s="90"/>
      <c r="B65" s="51"/>
      <c r="C65" s="56"/>
      <c r="D65" s="438"/>
      <c r="E65" s="438"/>
      <c r="F65" s="438"/>
      <c r="G65" s="438"/>
      <c r="H65" s="438"/>
      <c r="I65" s="438"/>
    </row>
    <row r="66" spans="1:10" x14ac:dyDescent="0.25">
      <c r="A66" s="449"/>
      <c r="B66" s="440" t="s">
        <v>418</v>
      </c>
      <c r="C66" s="441"/>
      <c r="D66" s="442"/>
      <c r="E66" s="443"/>
      <c r="F66" s="443">
        <f>SUM(F65:F65)</f>
        <v>0</v>
      </c>
      <c r="G66" s="443"/>
      <c r="H66" s="444">
        <f>D66-F66</f>
        <v>0</v>
      </c>
      <c r="I66" s="443">
        <f>SUM(I65:I65)</f>
        <v>0</v>
      </c>
    </row>
    <row r="67" spans="1:10" x14ac:dyDescent="0.25">
      <c r="A67" s="94"/>
      <c r="B67" s="457" t="s">
        <v>93</v>
      </c>
      <c r="C67" s="97">
        <f>C64</f>
        <v>157320</v>
      </c>
      <c r="D67" s="459">
        <f>D66</f>
        <v>0</v>
      </c>
      <c r="E67" s="455"/>
      <c r="F67" s="455">
        <f>F66</f>
        <v>0</v>
      </c>
      <c r="G67" s="455"/>
      <c r="H67" s="456">
        <f>D67-F67</f>
        <v>0</v>
      </c>
      <c r="I67" s="455">
        <f>I66</f>
        <v>0</v>
      </c>
    </row>
    <row r="68" spans="1:10" x14ac:dyDescent="0.25">
      <c r="A68" s="445">
        <v>1.6</v>
      </c>
      <c r="B68" s="452" t="s">
        <v>94</v>
      </c>
      <c r="C68" s="358"/>
      <c r="D68" s="447"/>
      <c r="E68" s="447"/>
      <c r="F68" s="447"/>
      <c r="G68" s="447"/>
      <c r="H68" s="447"/>
      <c r="I68" s="447"/>
    </row>
    <row r="69" spans="1:10" x14ac:dyDescent="0.25">
      <c r="A69" s="90" t="s">
        <v>95</v>
      </c>
      <c r="B69" s="51" t="s">
        <v>96</v>
      </c>
      <c r="C69" s="56"/>
      <c r="D69" s="438"/>
      <c r="E69" s="438"/>
      <c r="F69" s="438"/>
      <c r="G69" s="438"/>
      <c r="H69" s="438"/>
      <c r="I69" s="438"/>
    </row>
    <row r="70" spans="1:10" ht="25.5" x14ac:dyDescent="0.25">
      <c r="A70" s="90" t="s">
        <v>99</v>
      </c>
      <c r="B70" s="84" t="s">
        <v>100</v>
      </c>
      <c r="C70" s="56"/>
      <c r="D70" s="438"/>
      <c r="E70" s="438"/>
      <c r="F70" s="438"/>
      <c r="G70" s="438"/>
      <c r="H70" s="438"/>
      <c r="I70" s="438"/>
    </row>
    <row r="71" spans="1:10" ht="38.25" x14ac:dyDescent="0.25">
      <c r="A71" s="90" t="s">
        <v>101</v>
      </c>
      <c r="B71" s="51" t="s">
        <v>102</v>
      </c>
      <c r="C71" s="56"/>
      <c r="D71" s="438"/>
      <c r="E71" s="438"/>
      <c r="F71" s="438"/>
      <c r="G71" s="438"/>
      <c r="H71" s="438"/>
      <c r="I71" s="438"/>
    </row>
    <row r="72" spans="1:10" x14ac:dyDescent="0.25">
      <c r="A72" s="90" t="s">
        <v>103</v>
      </c>
      <c r="B72" s="51" t="s">
        <v>104</v>
      </c>
      <c r="C72" s="56"/>
      <c r="D72" s="438"/>
      <c r="E72" s="438"/>
      <c r="F72" s="438"/>
      <c r="G72" s="438"/>
      <c r="H72" s="438"/>
      <c r="I72" s="438"/>
    </row>
    <row r="73" spans="1:10" ht="21.75" customHeight="1" x14ac:dyDescent="0.25">
      <c r="A73" s="94"/>
      <c r="B73" s="457" t="s">
        <v>105</v>
      </c>
      <c r="C73" s="97">
        <f>SUM(C69:C72)</f>
        <v>0</v>
      </c>
      <c r="D73" s="460">
        <v>0</v>
      </c>
      <c r="E73" s="455"/>
      <c r="F73" s="460"/>
      <c r="G73" s="455"/>
      <c r="H73" s="456">
        <f>D73-F73</f>
        <v>0</v>
      </c>
      <c r="I73" s="455"/>
      <c r="J73" s="461"/>
    </row>
    <row r="74" spans="1:10" x14ac:dyDescent="0.25">
      <c r="A74" s="359"/>
      <c r="B74" s="462" t="s">
        <v>106</v>
      </c>
      <c r="C74" s="98">
        <f>SUM(C73,C67,C62,C44,C24)</f>
        <v>333400</v>
      </c>
      <c r="D74" s="463">
        <f>SUM(D73,D67,D62,D44,D24)</f>
        <v>45520</v>
      </c>
      <c r="E74" s="464"/>
      <c r="F74" s="463">
        <f>SUM(F73,F67,F62,F44,F24,F17)</f>
        <v>42380</v>
      </c>
      <c r="G74" s="464"/>
      <c r="H74" s="465">
        <f>D74-F74</f>
        <v>3140</v>
      </c>
      <c r="I74" s="463">
        <f>SUM(I73,I67,I62,I44,I24,I17)</f>
        <v>0</v>
      </c>
    </row>
    <row r="75" spans="1:10" x14ac:dyDescent="0.25">
      <c r="A75" s="116"/>
      <c r="B75" s="466" t="s">
        <v>107</v>
      </c>
      <c r="C75" s="119"/>
      <c r="D75" s="467"/>
      <c r="E75" s="467"/>
      <c r="F75" s="467"/>
      <c r="G75" s="467"/>
      <c r="H75" s="467"/>
      <c r="I75" s="467"/>
    </row>
    <row r="76" spans="1:10" ht="74.25" customHeight="1" x14ac:dyDescent="0.25">
      <c r="A76" s="445">
        <v>2.1</v>
      </c>
      <c r="B76" s="452" t="s">
        <v>108</v>
      </c>
      <c r="C76" s="363"/>
      <c r="D76" s="468"/>
      <c r="E76" s="468"/>
      <c r="F76" s="468"/>
      <c r="G76" s="468"/>
      <c r="H76" s="468"/>
      <c r="I76" s="468"/>
    </row>
    <row r="77" spans="1:10" x14ac:dyDescent="0.25">
      <c r="A77" s="124" t="s">
        <v>109</v>
      </c>
      <c r="B77" s="51" t="s">
        <v>110</v>
      </c>
      <c r="C77" s="56">
        <v>8000</v>
      </c>
      <c r="D77" s="438"/>
      <c r="E77" s="438"/>
      <c r="F77" s="438"/>
      <c r="G77" s="438"/>
      <c r="H77" s="438"/>
      <c r="I77" s="438"/>
    </row>
    <row r="78" spans="1:10" ht="51" x14ac:dyDescent="0.25">
      <c r="A78" s="124"/>
      <c r="B78" s="51" t="s">
        <v>419</v>
      </c>
      <c r="C78" s="56"/>
      <c r="D78" s="438"/>
      <c r="E78" s="438" t="s">
        <v>404</v>
      </c>
      <c r="F78" s="438">
        <v>1750</v>
      </c>
      <c r="G78" s="438" t="s">
        <v>420</v>
      </c>
      <c r="H78" s="438"/>
      <c r="I78" s="438"/>
    </row>
    <row r="79" spans="1:10" ht="51" x14ac:dyDescent="0.25">
      <c r="A79" s="124"/>
      <c r="B79" s="51" t="s">
        <v>421</v>
      </c>
      <c r="C79" s="56"/>
      <c r="D79" s="438"/>
      <c r="E79" s="438" t="s">
        <v>404</v>
      </c>
      <c r="F79" s="438">
        <v>240</v>
      </c>
      <c r="G79" s="438" t="s">
        <v>405</v>
      </c>
      <c r="H79" s="438"/>
      <c r="I79" s="438"/>
    </row>
    <row r="80" spans="1:10" x14ac:dyDescent="0.25">
      <c r="A80" s="469"/>
      <c r="B80" s="440" t="s">
        <v>422</v>
      </c>
      <c r="C80" s="441"/>
      <c r="D80" s="443">
        <v>2000</v>
      </c>
      <c r="E80" s="443"/>
      <c r="F80" s="443">
        <f>SUM(F78:F79)</f>
        <v>1990</v>
      </c>
      <c r="G80" s="443"/>
      <c r="H80" s="444">
        <f>D80-F80</f>
        <v>10</v>
      </c>
      <c r="I80" s="443">
        <f>SUM(I78:I79)</f>
        <v>0</v>
      </c>
    </row>
    <row r="81" spans="1:9" ht="25.5" x14ac:dyDescent="0.25">
      <c r="A81" s="124" t="s">
        <v>111</v>
      </c>
      <c r="B81" s="51" t="s">
        <v>112</v>
      </c>
      <c r="C81" s="56">
        <v>19680</v>
      </c>
      <c r="D81" s="438"/>
      <c r="E81" s="438"/>
      <c r="F81" s="438"/>
      <c r="G81" s="438"/>
      <c r="H81" s="438"/>
      <c r="I81" s="438"/>
    </row>
    <row r="82" spans="1:9" ht="51" x14ac:dyDescent="0.25">
      <c r="A82" s="124"/>
      <c r="B82" s="51" t="s">
        <v>423</v>
      </c>
      <c r="C82" s="56"/>
      <c r="D82" s="438"/>
      <c r="E82" s="438" t="s">
        <v>404</v>
      </c>
      <c r="F82" s="438">
        <v>4920</v>
      </c>
      <c r="G82" s="438" t="s">
        <v>424</v>
      </c>
      <c r="H82" s="438"/>
      <c r="I82" s="438"/>
    </row>
    <row r="83" spans="1:9" x14ac:dyDescent="0.25">
      <c r="A83" s="124"/>
      <c r="B83" s="51"/>
      <c r="C83" s="56"/>
      <c r="D83" s="438"/>
      <c r="E83" s="438"/>
      <c r="F83" s="438"/>
      <c r="G83" s="438"/>
      <c r="H83" s="438"/>
      <c r="I83" s="438"/>
    </row>
    <row r="84" spans="1:9" x14ac:dyDescent="0.25">
      <c r="A84" s="469"/>
      <c r="B84" s="440" t="s">
        <v>425</v>
      </c>
      <c r="C84" s="441"/>
      <c r="D84" s="443">
        <v>4920</v>
      </c>
      <c r="E84" s="443"/>
      <c r="F84" s="443">
        <f>SUM(F82:F83)</f>
        <v>4920</v>
      </c>
      <c r="G84" s="443"/>
      <c r="H84" s="444">
        <f>D84-F84</f>
        <v>0</v>
      </c>
      <c r="I84" s="443">
        <f>SUM(I82:I83)</f>
        <v>0</v>
      </c>
    </row>
    <row r="85" spans="1:9" ht="25.5" x14ac:dyDescent="0.25">
      <c r="A85" s="124" t="s">
        <v>113</v>
      </c>
      <c r="B85" s="51" t="s">
        <v>114</v>
      </c>
      <c r="C85" s="56">
        <v>20000</v>
      </c>
      <c r="D85" s="438"/>
      <c r="E85" s="438"/>
      <c r="F85" s="438"/>
      <c r="G85" s="438"/>
      <c r="H85" s="438"/>
      <c r="I85" s="438"/>
    </row>
    <row r="86" spans="1:9" ht="63.75" x14ac:dyDescent="0.25">
      <c r="A86" s="124"/>
      <c r="B86" s="51" t="s">
        <v>426</v>
      </c>
      <c r="C86" s="56"/>
      <c r="D86" s="438"/>
      <c r="E86" s="438" t="s">
        <v>404</v>
      </c>
      <c r="F86" s="438">
        <v>5000</v>
      </c>
      <c r="G86" s="438" t="s">
        <v>413</v>
      </c>
      <c r="H86" s="438"/>
      <c r="I86" s="438"/>
    </row>
    <row r="87" spans="1:9" x14ac:dyDescent="0.25">
      <c r="A87" s="124"/>
      <c r="B87" s="51"/>
      <c r="C87" s="56"/>
      <c r="D87" s="438"/>
      <c r="E87" s="438"/>
      <c r="F87" s="438"/>
      <c r="G87" s="438"/>
      <c r="H87" s="438"/>
      <c r="I87" s="438"/>
    </row>
    <row r="88" spans="1:9" x14ac:dyDescent="0.25">
      <c r="A88" s="469"/>
      <c r="B88" s="440" t="s">
        <v>427</v>
      </c>
      <c r="C88" s="441"/>
      <c r="D88" s="443">
        <v>5000</v>
      </c>
      <c r="E88" s="443"/>
      <c r="F88" s="443">
        <f>SUM(F86:F87)</f>
        <v>5000</v>
      </c>
      <c r="G88" s="443"/>
      <c r="H88" s="444">
        <f>D88-F88</f>
        <v>0</v>
      </c>
      <c r="I88" s="443">
        <f>SUM(I86:I87)</f>
        <v>0</v>
      </c>
    </row>
    <row r="89" spans="1:9" x14ac:dyDescent="0.25">
      <c r="A89" s="124" t="s">
        <v>116</v>
      </c>
      <c r="B89" s="51" t="s">
        <v>117</v>
      </c>
      <c r="C89" s="56">
        <v>2000</v>
      </c>
      <c r="D89" s="438"/>
      <c r="E89" s="438"/>
      <c r="F89" s="438"/>
      <c r="G89" s="438"/>
      <c r="H89" s="438"/>
      <c r="I89" s="438"/>
    </row>
    <row r="90" spans="1:9" ht="51" x14ac:dyDescent="0.25">
      <c r="A90" s="124"/>
      <c r="B90" s="51" t="s">
        <v>428</v>
      </c>
      <c r="C90" s="56"/>
      <c r="D90" s="438"/>
      <c r="E90" s="438" t="s">
        <v>404</v>
      </c>
      <c r="F90" s="438">
        <v>525</v>
      </c>
      <c r="G90" s="438" t="s">
        <v>429</v>
      </c>
      <c r="H90" s="438"/>
      <c r="I90" s="438"/>
    </row>
    <row r="91" spans="1:9" x14ac:dyDescent="0.25">
      <c r="A91" s="124"/>
      <c r="B91" s="51"/>
      <c r="C91" s="56"/>
      <c r="D91" s="438"/>
      <c r="E91" s="438"/>
      <c r="F91" s="438"/>
      <c r="G91" s="438"/>
      <c r="H91" s="438"/>
      <c r="I91" s="438"/>
    </row>
    <row r="92" spans="1:9" ht="25.5" x14ac:dyDescent="0.25">
      <c r="A92" s="469"/>
      <c r="B92" s="440" t="s">
        <v>430</v>
      </c>
      <c r="C92" s="441"/>
      <c r="D92" s="443">
        <v>500</v>
      </c>
      <c r="E92" s="443"/>
      <c r="F92" s="443">
        <f>SUM(F90:F91)</f>
        <v>525</v>
      </c>
      <c r="G92" s="443"/>
      <c r="H92" s="444">
        <f>D92-F92</f>
        <v>-25</v>
      </c>
      <c r="I92" s="443">
        <f>SUM(I90:I91)</f>
        <v>0</v>
      </c>
    </row>
    <row r="93" spans="1:9" x14ac:dyDescent="0.25">
      <c r="A93" s="94"/>
      <c r="B93" s="457" t="s">
        <v>118</v>
      </c>
      <c r="C93" s="97">
        <f>SUM(C77:C89)</f>
        <v>49680</v>
      </c>
      <c r="D93" s="455">
        <f>SUM(D92,D88,D84,D80)</f>
        <v>12420</v>
      </c>
      <c r="E93" s="455"/>
      <c r="F93" s="455">
        <f>SUM(F92,F88,F84,F80)</f>
        <v>12435</v>
      </c>
      <c r="G93" s="455"/>
      <c r="H93" s="456">
        <f>D93-F93</f>
        <v>-15</v>
      </c>
      <c r="I93" s="455">
        <f>SUM(I92,I88,I84,I80)</f>
        <v>0</v>
      </c>
    </row>
    <row r="94" spans="1:9" ht="38.25" x14ac:dyDescent="0.25">
      <c r="A94" s="445">
        <v>2.2000000000000002</v>
      </c>
      <c r="B94" s="452" t="s">
        <v>119</v>
      </c>
      <c r="C94" s="363"/>
      <c r="D94" s="447"/>
      <c r="E94" s="447"/>
      <c r="F94" s="447"/>
      <c r="G94" s="447"/>
      <c r="H94" s="447"/>
      <c r="I94" s="447"/>
    </row>
    <row r="95" spans="1:9" x14ac:dyDescent="0.25">
      <c r="A95" s="124" t="s">
        <v>120</v>
      </c>
      <c r="B95" s="51" t="s">
        <v>121</v>
      </c>
      <c r="C95" s="56">
        <v>5000</v>
      </c>
      <c r="D95" s="438"/>
      <c r="E95" s="438"/>
      <c r="F95" s="438"/>
      <c r="G95" s="438"/>
      <c r="H95" s="438"/>
      <c r="I95" s="438"/>
    </row>
    <row r="96" spans="1:9" x14ac:dyDescent="0.25">
      <c r="A96" s="124"/>
      <c r="B96" s="51"/>
      <c r="C96" s="56"/>
      <c r="D96" s="438"/>
      <c r="E96" s="438"/>
      <c r="F96" s="438"/>
      <c r="G96" s="438"/>
      <c r="H96" s="438"/>
      <c r="I96" s="438"/>
    </row>
    <row r="97" spans="1:9" x14ac:dyDescent="0.25">
      <c r="A97" s="124"/>
      <c r="B97" s="51"/>
      <c r="C97" s="56"/>
      <c r="D97" s="438"/>
      <c r="E97" s="438"/>
      <c r="F97" s="438"/>
      <c r="G97" s="438"/>
      <c r="H97" s="438"/>
      <c r="I97" s="438"/>
    </row>
    <row r="98" spans="1:9" x14ac:dyDescent="0.25">
      <c r="A98" s="469"/>
      <c r="B98" s="440" t="s">
        <v>431</v>
      </c>
      <c r="C98" s="441"/>
      <c r="D98" s="443">
        <v>0</v>
      </c>
      <c r="E98" s="443"/>
      <c r="F98" s="443">
        <f>SUM(F96:F97)</f>
        <v>0</v>
      </c>
      <c r="G98" s="443"/>
      <c r="H98" s="444">
        <f>D98-F98</f>
        <v>0</v>
      </c>
      <c r="I98" s="443">
        <f>SUM(I96:I97)</f>
        <v>0</v>
      </c>
    </row>
    <row r="99" spans="1:9" ht="25.5" x14ac:dyDescent="0.25">
      <c r="A99" s="124" t="s">
        <v>122</v>
      </c>
      <c r="B99" s="51" t="s">
        <v>123</v>
      </c>
      <c r="C99" s="56">
        <v>9840</v>
      </c>
      <c r="D99" s="438"/>
      <c r="E99" s="438"/>
      <c r="F99" s="438"/>
      <c r="G99" s="438"/>
      <c r="H99" s="438"/>
      <c r="I99" s="438"/>
    </row>
    <row r="100" spans="1:9" x14ac:dyDescent="0.25">
      <c r="A100" s="124"/>
      <c r="B100" s="51"/>
      <c r="C100" s="56"/>
      <c r="D100" s="438"/>
      <c r="E100" s="438"/>
      <c r="F100" s="438"/>
      <c r="G100" s="438"/>
      <c r="H100" s="438"/>
      <c r="I100" s="438"/>
    </row>
    <row r="101" spans="1:9" x14ac:dyDescent="0.25">
      <c r="A101" s="124"/>
      <c r="B101" s="51"/>
      <c r="C101" s="56"/>
      <c r="D101" s="438"/>
      <c r="E101" s="438"/>
      <c r="F101" s="438"/>
      <c r="G101" s="438"/>
      <c r="H101" s="438"/>
      <c r="I101" s="438"/>
    </row>
    <row r="102" spans="1:9" x14ac:dyDescent="0.25">
      <c r="A102" s="469"/>
      <c r="B102" s="440" t="s">
        <v>432</v>
      </c>
      <c r="C102" s="441"/>
      <c r="D102" s="443">
        <v>0</v>
      </c>
      <c r="E102" s="443"/>
      <c r="F102" s="443">
        <f>SUM(F100:F101)</f>
        <v>0</v>
      </c>
      <c r="G102" s="443"/>
      <c r="H102" s="444">
        <f>D102-F102</f>
        <v>0</v>
      </c>
      <c r="I102" s="443">
        <f>SUM(I100:I101)</f>
        <v>0</v>
      </c>
    </row>
    <row r="103" spans="1:9" ht="25.5" x14ac:dyDescent="0.25">
      <c r="A103" s="124" t="s">
        <v>124</v>
      </c>
      <c r="B103" s="51" t="s">
        <v>125</v>
      </c>
      <c r="C103" s="56">
        <v>10000</v>
      </c>
      <c r="D103" s="438"/>
      <c r="E103" s="438"/>
      <c r="F103" s="438"/>
      <c r="G103" s="438"/>
      <c r="H103" s="438"/>
      <c r="I103" s="438"/>
    </row>
    <row r="104" spans="1:9" x14ac:dyDescent="0.25">
      <c r="A104" s="124"/>
      <c r="B104" s="51"/>
      <c r="C104" s="56"/>
      <c r="D104" s="438"/>
      <c r="E104" s="438"/>
      <c r="F104" s="438"/>
      <c r="G104" s="438"/>
      <c r="H104" s="438"/>
      <c r="I104" s="438"/>
    </row>
    <row r="105" spans="1:9" x14ac:dyDescent="0.25">
      <c r="A105" s="124"/>
      <c r="B105" s="51"/>
      <c r="C105" s="56"/>
      <c r="D105" s="438"/>
      <c r="E105" s="438"/>
      <c r="F105" s="438"/>
      <c r="G105" s="438"/>
      <c r="H105" s="438"/>
      <c r="I105" s="438"/>
    </row>
    <row r="106" spans="1:9" x14ac:dyDescent="0.25">
      <c r="A106" s="469"/>
      <c r="B106" s="440" t="s">
        <v>433</v>
      </c>
      <c r="C106" s="441"/>
      <c r="D106" s="443">
        <v>0</v>
      </c>
      <c r="E106" s="443"/>
      <c r="F106" s="443">
        <f>SUM(F104:F105)</f>
        <v>0</v>
      </c>
      <c r="G106" s="443"/>
      <c r="H106" s="444">
        <f>D106-F106</f>
        <v>0</v>
      </c>
      <c r="I106" s="443">
        <f>SUM(I104:I105)</f>
        <v>0</v>
      </c>
    </row>
    <row r="107" spans="1:9" x14ac:dyDescent="0.25">
      <c r="A107" s="124" t="s">
        <v>127</v>
      </c>
      <c r="B107" s="51" t="s">
        <v>117</v>
      </c>
      <c r="C107" s="56">
        <v>1000</v>
      </c>
      <c r="D107" s="438"/>
      <c r="E107" s="438"/>
      <c r="F107" s="438"/>
      <c r="G107" s="438"/>
      <c r="H107" s="438"/>
      <c r="I107" s="438"/>
    </row>
    <row r="108" spans="1:9" x14ac:dyDescent="0.25">
      <c r="A108" s="124"/>
      <c r="B108" s="51"/>
      <c r="C108" s="56"/>
      <c r="D108" s="438"/>
      <c r="E108" s="438"/>
      <c r="F108" s="438"/>
      <c r="G108" s="438"/>
      <c r="H108" s="438"/>
      <c r="I108" s="438"/>
    </row>
    <row r="109" spans="1:9" x14ac:dyDescent="0.25">
      <c r="A109" s="124"/>
      <c r="B109" s="51"/>
      <c r="C109" s="56"/>
      <c r="D109" s="438"/>
      <c r="E109" s="438"/>
      <c r="F109" s="438"/>
      <c r="G109" s="438"/>
      <c r="H109" s="438"/>
      <c r="I109" s="438"/>
    </row>
    <row r="110" spans="1:9" x14ac:dyDescent="0.25">
      <c r="A110" s="469"/>
      <c r="B110" s="440" t="s">
        <v>434</v>
      </c>
      <c r="C110" s="441"/>
      <c r="D110" s="443">
        <v>0</v>
      </c>
      <c r="E110" s="443"/>
      <c r="F110" s="443">
        <f>SUM(F108:F109)</f>
        <v>0</v>
      </c>
      <c r="G110" s="443"/>
      <c r="H110" s="444">
        <f>D110-F110</f>
        <v>0</v>
      </c>
      <c r="I110" s="443"/>
    </row>
    <row r="111" spans="1:9" x14ac:dyDescent="0.25">
      <c r="A111" s="94"/>
      <c r="B111" s="457" t="s">
        <v>128</v>
      </c>
      <c r="C111" s="97">
        <f>SUM(C95:C107)</f>
        <v>25840</v>
      </c>
      <c r="D111" s="455">
        <f>SUM(D110,D106,D102,D98)</f>
        <v>0</v>
      </c>
      <c r="E111" s="455"/>
      <c r="F111" s="455">
        <f>SUM(F110,F106,F102,F98)</f>
        <v>0</v>
      </c>
      <c r="G111" s="455"/>
      <c r="H111" s="456">
        <f>D111-F111</f>
        <v>0</v>
      </c>
      <c r="I111" s="455">
        <f>SUM(I110,I106,I102,I98)</f>
        <v>0</v>
      </c>
    </row>
    <row r="112" spans="1:9" ht="25.5" x14ac:dyDescent="0.25">
      <c r="A112" s="445">
        <v>2.2999999999999998</v>
      </c>
      <c r="B112" s="452" t="s">
        <v>129</v>
      </c>
      <c r="C112" s="363"/>
      <c r="D112" s="447"/>
      <c r="E112" s="447"/>
      <c r="F112" s="447"/>
      <c r="G112" s="447"/>
      <c r="H112" s="447"/>
      <c r="I112" s="447"/>
    </row>
    <row r="113" spans="1:9" x14ac:dyDescent="0.25">
      <c r="A113" s="124" t="s">
        <v>130</v>
      </c>
      <c r="B113" s="51" t="s">
        <v>121</v>
      </c>
      <c r="C113" s="56">
        <v>5000</v>
      </c>
      <c r="D113" s="438"/>
      <c r="E113" s="438"/>
      <c r="F113" s="438"/>
      <c r="G113" s="438"/>
      <c r="H113" s="438"/>
      <c r="I113" s="438"/>
    </row>
    <row r="114" spans="1:9" ht="56.25" customHeight="1" x14ac:dyDescent="0.25">
      <c r="A114" s="124"/>
      <c r="B114" s="51"/>
      <c r="C114" s="56"/>
      <c r="D114" s="438"/>
      <c r="E114" s="438"/>
      <c r="F114" s="438"/>
      <c r="G114" s="438"/>
      <c r="H114" s="438"/>
      <c r="I114" s="438"/>
    </row>
    <row r="115" spans="1:9" x14ac:dyDescent="0.25">
      <c r="A115" s="124"/>
      <c r="B115" s="51"/>
      <c r="C115" s="56"/>
      <c r="D115" s="438"/>
      <c r="E115" s="438"/>
      <c r="F115" s="438"/>
      <c r="G115" s="438"/>
      <c r="H115" s="438"/>
      <c r="I115" s="438"/>
    </row>
    <row r="116" spans="1:9" x14ac:dyDescent="0.25">
      <c r="A116" s="469"/>
      <c r="B116" s="440" t="s">
        <v>435</v>
      </c>
      <c r="C116" s="441"/>
      <c r="D116" s="443"/>
      <c r="E116" s="443"/>
      <c r="F116" s="443">
        <f>SUM(F114:F115)</f>
        <v>0</v>
      </c>
      <c r="G116" s="443"/>
      <c r="H116" s="444">
        <f>D116-F116</f>
        <v>0</v>
      </c>
      <c r="I116" s="443"/>
    </row>
    <row r="117" spans="1:9" ht="30.75" customHeight="1" x14ac:dyDescent="0.25">
      <c r="A117" s="124" t="s">
        <v>132</v>
      </c>
      <c r="B117" s="51" t="s">
        <v>133</v>
      </c>
      <c r="C117" s="56">
        <v>6480</v>
      </c>
      <c r="D117" s="438"/>
      <c r="E117" s="438"/>
      <c r="F117" s="438"/>
      <c r="G117" s="438"/>
      <c r="H117" s="438"/>
      <c r="I117" s="438"/>
    </row>
    <row r="118" spans="1:9" ht="63.75" customHeight="1" x14ac:dyDescent="0.25">
      <c r="A118" s="124"/>
      <c r="B118" s="51"/>
      <c r="C118" s="56"/>
      <c r="D118" s="438"/>
      <c r="E118" s="438"/>
      <c r="F118" s="438"/>
      <c r="G118" s="438"/>
      <c r="H118" s="438"/>
      <c r="I118" s="438"/>
    </row>
    <row r="119" spans="1:9" x14ac:dyDescent="0.25">
      <c r="A119" s="124"/>
      <c r="B119" s="51"/>
      <c r="C119" s="56"/>
      <c r="D119" s="438"/>
      <c r="E119" s="438"/>
      <c r="F119" s="438"/>
      <c r="G119" s="438"/>
      <c r="H119" s="438"/>
      <c r="I119" s="438"/>
    </row>
    <row r="120" spans="1:9" x14ac:dyDescent="0.25">
      <c r="A120" s="469"/>
      <c r="B120" s="440" t="s">
        <v>436</v>
      </c>
      <c r="C120" s="441"/>
      <c r="D120" s="443"/>
      <c r="E120" s="443"/>
      <c r="F120" s="443">
        <f>SUM(F118:F119)</f>
        <v>0</v>
      </c>
      <c r="G120" s="443"/>
      <c r="H120" s="444">
        <f>D120-F120</f>
        <v>0</v>
      </c>
      <c r="I120" s="443"/>
    </row>
    <row r="121" spans="1:9" ht="30" customHeight="1" x14ac:dyDescent="0.25">
      <c r="A121" s="124" t="s">
        <v>135</v>
      </c>
      <c r="B121" s="51" t="s">
        <v>136</v>
      </c>
      <c r="C121" s="56">
        <v>10000</v>
      </c>
      <c r="D121" s="438"/>
      <c r="E121" s="438"/>
      <c r="F121" s="438"/>
      <c r="G121" s="438"/>
      <c r="H121" s="438"/>
      <c r="I121" s="438"/>
    </row>
    <row r="122" spans="1:9" ht="64.5" customHeight="1" x14ac:dyDescent="0.25">
      <c r="A122" s="124"/>
      <c r="B122" s="51"/>
      <c r="C122" s="56"/>
      <c r="D122" s="438"/>
      <c r="E122" s="438"/>
      <c r="F122" s="438"/>
      <c r="G122" s="438"/>
      <c r="H122" s="438"/>
      <c r="I122" s="438"/>
    </row>
    <row r="123" spans="1:9" x14ac:dyDescent="0.25">
      <c r="A123" s="124"/>
      <c r="B123" s="51"/>
      <c r="C123" s="56"/>
      <c r="D123" s="438"/>
      <c r="E123" s="438"/>
      <c r="F123" s="438"/>
      <c r="G123" s="438"/>
      <c r="H123" s="438"/>
      <c r="I123" s="438"/>
    </row>
    <row r="124" spans="1:9" x14ac:dyDescent="0.25">
      <c r="A124" s="469"/>
      <c r="B124" s="440" t="s">
        <v>437</v>
      </c>
      <c r="C124" s="441"/>
      <c r="D124" s="443"/>
      <c r="E124" s="443"/>
      <c r="F124" s="443">
        <f>SUM(F122:F123)</f>
        <v>0</v>
      </c>
      <c r="G124" s="443"/>
      <c r="H124" s="444">
        <f>D124-F124</f>
        <v>0</v>
      </c>
      <c r="I124" s="443"/>
    </row>
    <row r="125" spans="1:9" x14ac:dyDescent="0.25">
      <c r="A125" s="124" t="s">
        <v>139</v>
      </c>
      <c r="B125" s="51" t="s">
        <v>77</v>
      </c>
      <c r="C125" s="56">
        <v>1000</v>
      </c>
      <c r="D125" s="438"/>
      <c r="E125" s="438"/>
      <c r="F125" s="438"/>
      <c r="G125" s="438"/>
      <c r="H125" s="438"/>
      <c r="I125" s="438"/>
    </row>
    <row r="126" spans="1:9" ht="53.25" customHeight="1" x14ac:dyDescent="0.25">
      <c r="A126" s="124"/>
      <c r="B126" s="51"/>
      <c r="C126" s="56"/>
      <c r="D126" s="438"/>
      <c r="E126" s="438"/>
      <c r="F126" s="438"/>
      <c r="G126" s="438"/>
      <c r="H126" s="438"/>
      <c r="I126" s="438"/>
    </row>
    <row r="127" spans="1:9" ht="61.5" customHeight="1" x14ac:dyDescent="0.25">
      <c r="A127" s="124"/>
      <c r="B127" s="51"/>
      <c r="C127" s="56"/>
      <c r="D127" s="438"/>
      <c r="E127" s="438"/>
      <c r="F127" s="438"/>
      <c r="G127" s="438"/>
      <c r="H127" s="438"/>
      <c r="I127" s="438"/>
    </row>
    <row r="128" spans="1:9" x14ac:dyDescent="0.25">
      <c r="A128" s="124"/>
      <c r="B128" s="51"/>
      <c r="C128" s="56"/>
      <c r="D128" s="438"/>
      <c r="E128" s="438"/>
      <c r="F128" s="438"/>
      <c r="G128" s="438"/>
      <c r="H128" s="438"/>
      <c r="I128" s="438"/>
    </row>
    <row r="129" spans="1:9" x14ac:dyDescent="0.25">
      <c r="A129" s="469"/>
      <c r="B129" s="440" t="s">
        <v>438</v>
      </c>
      <c r="C129" s="441"/>
      <c r="D129" s="443"/>
      <c r="E129" s="443"/>
      <c r="F129" s="443">
        <f>SUM(F126:F128)</f>
        <v>0</v>
      </c>
      <c r="G129" s="443"/>
      <c r="H129" s="444">
        <f>D129-F129</f>
        <v>0</v>
      </c>
      <c r="I129" s="443"/>
    </row>
    <row r="130" spans="1:9" x14ac:dyDescent="0.25">
      <c r="A130" s="94"/>
      <c r="B130" s="457" t="s">
        <v>141</v>
      </c>
      <c r="C130" s="97">
        <f>SUM(C113:C125)</f>
        <v>22480</v>
      </c>
      <c r="D130" s="455">
        <f>SUM(D129,D124,D120,D116)</f>
        <v>0</v>
      </c>
      <c r="E130" s="455"/>
      <c r="F130" s="455">
        <f>SUM(F129,F124,F120,F116)</f>
        <v>0</v>
      </c>
      <c r="G130" s="455"/>
      <c r="H130" s="456">
        <f>D130-F130</f>
        <v>0</v>
      </c>
      <c r="I130" s="455"/>
    </row>
    <row r="131" spans="1:9" ht="25.5" x14ac:dyDescent="0.25">
      <c r="A131" s="445">
        <v>2.4</v>
      </c>
      <c r="B131" s="452" t="s">
        <v>142</v>
      </c>
      <c r="C131" s="363"/>
      <c r="D131" s="447"/>
      <c r="E131" s="447"/>
      <c r="F131" s="447"/>
      <c r="G131" s="447"/>
      <c r="H131" s="447"/>
      <c r="I131" s="447"/>
    </row>
    <row r="132" spans="1:9" x14ac:dyDescent="0.25">
      <c r="A132" s="124" t="s">
        <v>143</v>
      </c>
      <c r="B132" s="51" t="s">
        <v>121</v>
      </c>
      <c r="C132" s="56">
        <v>5000</v>
      </c>
      <c r="D132" s="438"/>
      <c r="E132" s="438"/>
      <c r="F132" s="438"/>
      <c r="G132" s="438"/>
      <c r="H132" s="438"/>
      <c r="I132" s="438"/>
    </row>
    <row r="133" spans="1:9" ht="63.75" x14ac:dyDescent="0.25">
      <c r="A133" s="124"/>
      <c r="B133" s="51" t="s">
        <v>439</v>
      </c>
      <c r="C133" s="56"/>
      <c r="D133" s="438"/>
      <c r="E133" s="438" t="s">
        <v>385</v>
      </c>
      <c r="F133" s="438">
        <v>230</v>
      </c>
      <c r="G133" s="438" t="s">
        <v>440</v>
      </c>
      <c r="H133" s="438"/>
      <c r="I133" s="438"/>
    </row>
    <row r="134" spans="1:9" ht="63.75" x14ac:dyDescent="0.25">
      <c r="A134" s="124"/>
      <c r="B134" s="51" t="s">
        <v>441</v>
      </c>
      <c r="C134" s="56"/>
      <c r="D134" s="438"/>
      <c r="E134" s="438" t="s">
        <v>385</v>
      </c>
      <c r="F134" s="438">
        <v>2250</v>
      </c>
      <c r="G134" s="438" t="s">
        <v>442</v>
      </c>
      <c r="H134" s="438"/>
      <c r="I134" s="438"/>
    </row>
    <row r="135" spans="1:9" x14ac:dyDescent="0.25">
      <c r="A135" s="469"/>
      <c r="B135" s="440" t="s">
        <v>443</v>
      </c>
      <c r="C135" s="441"/>
      <c r="D135" s="443">
        <v>2500</v>
      </c>
      <c r="E135" s="443"/>
      <c r="F135" s="443">
        <f>SUM(F133:F134)</f>
        <v>2480</v>
      </c>
      <c r="G135" s="443"/>
      <c r="H135" s="444">
        <f>D135-F135</f>
        <v>20</v>
      </c>
      <c r="I135" s="443"/>
    </row>
    <row r="136" spans="1:9" x14ac:dyDescent="0.25">
      <c r="A136" s="124" t="s">
        <v>144</v>
      </c>
      <c r="B136" s="51" t="s">
        <v>145</v>
      </c>
      <c r="C136" s="56">
        <v>9840</v>
      </c>
      <c r="D136" s="438"/>
      <c r="E136" s="438"/>
      <c r="F136" s="438"/>
      <c r="G136" s="438"/>
      <c r="H136" s="438"/>
      <c r="I136" s="438"/>
    </row>
    <row r="137" spans="1:9" ht="68.25" customHeight="1" x14ac:dyDescent="0.25">
      <c r="A137" s="124"/>
      <c r="B137" s="51" t="s">
        <v>444</v>
      </c>
      <c r="C137" s="56"/>
      <c r="D137" s="438"/>
      <c r="E137" s="438" t="s">
        <v>385</v>
      </c>
      <c r="F137" s="438">
        <v>4680</v>
      </c>
      <c r="G137" s="438" t="s">
        <v>440</v>
      </c>
      <c r="H137" s="438"/>
      <c r="I137" s="438"/>
    </row>
    <row r="138" spans="1:9" x14ac:dyDescent="0.25">
      <c r="A138" s="124"/>
      <c r="B138" s="51"/>
      <c r="C138" s="56"/>
      <c r="D138" s="438"/>
      <c r="E138" s="438"/>
      <c r="F138" s="438"/>
      <c r="G138" s="438"/>
      <c r="H138" s="438"/>
      <c r="I138" s="438"/>
    </row>
    <row r="139" spans="1:9" x14ac:dyDescent="0.25">
      <c r="A139" s="469"/>
      <c r="B139" s="440" t="s">
        <v>445</v>
      </c>
      <c r="C139" s="441"/>
      <c r="D139" s="443">
        <v>4920</v>
      </c>
      <c r="E139" s="443"/>
      <c r="F139" s="443">
        <f>SUM(F137:F138)</f>
        <v>4680</v>
      </c>
      <c r="G139" s="443"/>
      <c r="H139" s="444">
        <f>D139-F139</f>
        <v>240</v>
      </c>
      <c r="I139" s="443"/>
    </row>
    <row r="140" spans="1:9" ht="25.5" x14ac:dyDescent="0.25">
      <c r="A140" s="124" t="s">
        <v>146</v>
      </c>
      <c r="B140" s="51" t="s">
        <v>147</v>
      </c>
      <c r="C140" s="56">
        <v>10000</v>
      </c>
      <c r="D140" s="438"/>
      <c r="E140" s="438"/>
      <c r="F140" s="438"/>
      <c r="G140" s="438"/>
      <c r="H140" s="438"/>
      <c r="I140" s="438"/>
    </row>
    <row r="141" spans="1:9" ht="69" customHeight="1" x14ac:dyDescent="0.25">
      <c r="A141" s="124"/>
      <c r="B141" s="51"/>
      <c r="C141" s="56"/>
      <c r="D141" s="438"/>
      <c r="E141" s="438"/>
      <c r="F141" s="438"/>
      <c r="G141" s="438"/>
      <c r="H141" s="438"/>
      <c r="I141" s="438"/>
    </row>
    <row r="142" spans="1:9" x14ac:dyDescent="0.25">
      <c r="A142" s="124"/>
      <c r="B142" s="51"/>
      <c r="C142" s="56"/>
      <c r="D142" s="438"/>
      <c r="E142" s="438"/>
      <c r="F142" s="438"/>
      <c r="G142" s="438"/>
      <c r="H142" s="438"/>
      <c r="I142" s="438"/>
    </row>
    <row r="143" spans="1:9" x14ac:dyDescent="0.25">
      <c r="A143" s="469"/>
      <c r="B143" s="440" t="s">
        <v>446</v>
      </c>
      <c r="C143" s="441"/>
      <c r="D143" s="443">
        <v>5000</v>
      </c>
      <c r="E143" s="443"/>
      <c r="F143" s="443">
        <f>SUM(F141:F142)</f>
        <v>0</v>
      </c>
      <c r="G143" s="443"/>
      <c r="H143" s="444">
        <f>D143-F143</f>
        <v>5000</v>
      </c>
      <c r="I143" s="443"/>
    </row>
    <row r="144" spans="1:9" x14ac:dyDescent="0.25">
      <c r="A144" s="124" t="s">
        <v>148</v>
      </c>
      <c r="B144" s="51" t="s">
        <v>77</v>
      </c>
      <c r="C144" s="56">
        <v>1000</v>
      </c>
      <c r="D144" s="438"/>
      <c r="E144" s="438"/>
      <c r="F144" s="438"/>
      <c r="G144" s="438"/>
      <c r="H144" s="438"/>
      <c r="I144" s="438"/>
    </row>
    <row r="145" spans="1:9" ht="76.5" x14ac:dyDescent="0.25">
      <c r="A145" s="124"/>
      <c r="B145" s="51" t="s">
        <v>447</v>
      </c>
      <c r="C145" s="56"/>
      <c r="D145" s="438"/>
      <c r="E145" s="438" t="s">
        <v>385</v>
      </c>
      <c r="F145" s="438">
        <v>495</v>
      </c>
      <c r="G145" s="438" t="s">
        <v>448</v>
      </c>
      <c r="H145" s="438"/>
      <c r="I145" s="438"/>
    </row>
    <row r="146" spans="1:9" ht="25.5" x14ac:dyDescent="0.25">
      <c r="A146" s="469"/>
      <c r="B146" s="440" t="s">
        <v>449</v>
      </c>
      <c r="C146" s="441"/>
      <c r="D146" s="443">
        <v>500</v>
      </c>
      <c r="E146" s="443"/>
      <c r="F146" s="443">
        <f>SUM(F145:F145)</f>
        <v>495</v>
      </c>
      <c r="G146" s="443"/>
      <c r="H146" s="444">
        <f>D146-F146</f>
        <v>5</v>
      </c>
      <c r="I146" s="443"/>
    </row>
    <row r="147" spans="1:9" x14ac:dyDescent="0.25">
      <c r="A147" s="94"/>
      <c r="B147" s="457" t="s">
        <v>149</v>
      </c>
      <c r="C147" s="97">
        <f>SUM(C132:C144)</f>
        <v>25840</v>
      </c>
      <c r="D147" s="455">
        <f>SUM(D146,D143,D139,D135)</f>
        <v>12920</v>
      </c>
      <c r="E147" s="455"/>
      <c r="F147" s="455">
        <f>SUM(F146,F143,F139,F135)</f>
        <v>7655</v>
      </c>
      <c r="G147" s="455"/>
      <c r="H147" s="456">
        <f>D147-F147</f>
        <v>5265</v>
      </c>
      <c r="I147" s="455"/>
    </row>
    <row r="148" spans="1:9" ht="38.25" x14ac:dyDescent="0.25">
      <c r="A148" s="445">
        <v>2.5</v>
      </c>
      <c r="B148" s="452" t="s">
        <v>150</v>
      </c>
      <c r="C148" s="363"/>
      <c r="D148" s="447"/>
      <c r="E148" s="447"/>
      <c r="F148" s="447"/>
      <c r="G148" s="447"/>
      <c r="H148" s="447"/>
      <c r="I148" s="447"/>
    </row>
    <row r="149" spans="1:9" ht="29.25" customHeight="1" x14ac:dyDescent="0.25">
      <c r="A149" s="124" t="s">
        <v>151</v>
      </c>
      <c r="B149" s="51" t="s">
        <v>152</v>
      </c>
      <c r="C149" s="56">
        <v>0</v>
      </c>
      <c r="D149" s="438"/>
      <c r="E149" s="438"/>
      <c r="F149" s="438"/>
      <c r="G149" s="438"/>
      <c r="H149" s="438"/>
      <c r="I149" s="438"/>
    </row>
    <row r="150" spans="1:9" ht="42.75" customHeight="1" x14ac:dyDescent="0.25">
      <c r="A150" s="124"/>
      <c r="B150" s="51"/>
      <c r="C150" s="56"/>
      <c r="D150" s="438"/>
      <c r="E150" s="438"/>
      <c r="F150" s="438"/>
      <c r="G150" s="438"/>
      <c r="H150" s="438"/>
      <c r="I150" s="438"/>
    </row>
    <row r="151" spans="1:9" x14ac:dyDescent="0.25">
      <c r="A151" s="124"/>
      <c r="B151" s="51"/>
      <c r="C151" s="56"/>
      <c r="D151" s="438"/>
      <c r="E151" s="438"/>
      <c r="F151" s="438"/>
      <c r="G151" s="438"/>
      <c r="H151" s="438"/>
      <c r="I151" s="438"/>
    </row>
    <row r="152" spans="1:9" x14ac:dyDescent="0.25">
      <c r="A152" s="469"/>
      <c r="B152" s="440" t="s">
        <v>450</v>
      </c>
      <c r="C152" s="441"/>
      <c r="D152" s="443">
        <v>0</v>
      </c>
      <c r="E152" s="443"/>
      <c r="F152" s="443">
        <f>SUM(F150:F151)</f>
        <v>0</v>
      </c>
      <c r="G152" s="443"/>
      <c r="H152" s="444">
        <f>D152-F152</f>
        <v>0</v>
      </c>
      <c r="I152" s="443"/>
    </row>
    <row r="153" spans="1:9" ht="33" customHeight="1" x14ac:dyDescent="0.25">
      <c r="A153" s="124" t="s">
        <v>153</v>
      </c>
      <c r="B153" s="51" t="s">
        <v>154</v>
      </c>
      <c r="C153" s="56">
        <v>14760</v>
      </c>
      <c r="D153" s="438"/>
      <c r="E153" s="438"/>
      <c r="F153" s="438"/>
      <c r="G153" s="438"/>
      <c r="H153" s="438"/>
      <c r="I153" s="438"/>
    </row>
    <row r="154" spans="1:9" ht="52.5" customHeight="1" x14ac:dyDescent="0.25">
      <c r="A154" s="124"/>
      <c r="B154" s="84" t="s">
        <v>451</v>
      </c>
      <c r="C154" s="56"/>
      <c r="D154" s="438"/>
      <c r="E154" s="438" t="s">
        <v>404</v>
      </c>
      <c r="F154" s="438">
        <v>4920</v>
      </c>
      <c r="G154" s="438" t="s">
        <v>452</v>
      </c>
      <c r="H154" s="438"/>
      <c r="I154" s="438"/>
    </row>
    <row r="155" spans="1:9" x14ac:dyDescent="0.25">
      <c r="A155" s="124"/>
      <c r="B155" s="51"/>
      <c r="C155" s="56"/>
      <c r="D155" s="438"/>
      <c r="E155" s="438"/>
      <c r="F155" s="438"/>
      <c r="G155" s="438"/>
      <c r="H155" s="438"/>
      <c r="I155" s="438"/>
    </row>
    <row r="156" spans="1:9" x14ac:dyDescent="0.25">
      <c r="A156" s="469"/>
      <c r="B156" s="440" t="s">
        <v>453</v>
      </c>
      <c r="C156" s="441"/>
      <c r="D156" s="443">
        <v>4920</v>
      </c>
      <c r="E156" s="443"/>
      <c r="F156" s="443">
        <f>SUM(F154:F155)</f>
        <v>4920</v>
      </c>
      <c r="G156" s="443"/>
      <c r="H156" s="444">
        <f>D156-F156</f>
        <v>0</v>
      </c>
      <c r="I156" s="443"/>
    </row>
    <row r="157" spans="1:9" ht="25.5" x14ac:dyDescent="0.25">
      <c r="A157" s="124" t="s">
        <v>156</v>
      </c>
      <c r="B157" s="51" t="s">
        <v>157</v>
      </c>
      <c r="C157" s="56">
        <v>15000</v>
      </c>
      <c r="D157" s="438"/>
      <c r="E157" s="438"/>
      <c r="F157" s="438"/>
      <c r="G157" s="438"/>
      <c r="H157" s="438"/>
      <c r="I157" s="438"/>
    </row>
    <row r="158" spans="1:9" ht="68.25" customHeight="1" x14ac:dyDescent="0.25">
      <c r="A158" s="124"/>
      <c r="B158" s="51" t="s">
        <v>454</v>
      </c>
      <c r="C158" s="56"/>
      <c r="D158" s="438"/>
      <c r="E158" s="438" t="s">
        <v>455</v>
      </c>
      <c r="F158" s="438">
        <v>5000</v>
      </c>
      <c r="G158" s="438" t="s">
        <v>456</v>
      </c>
      <c r="H158" s="438"/>
      <c r="I158" s="438"/>
    </row>
    <row r="159" spans="1:9" x14ac:dyDescent="0.25">
      <c r="A159" s="124"/>
      <c r="B159" s="51"/>
      <c r="C159" s="56"/>
      <c r="D159" s="438"/>
      <c r="E159" s="438"/>
      <c r="F159" s="438"/>
      <c r="G159" s="438"/>
      <c r="H159" s="438"/>
      <c r="I159" s="438"/>
    </row>
    <row r="160" spans="1:9" x14ac:dyDescent="0.25">
      <c r="A160" s="469"/>
      <c r="B160" s="440" t="s">
        <v>457</v>
      </c>
      <c r="C160" s="441"/>
      <c r="D160" s="443">
        <v>5000</v>
      </c>
      <c r="E160" s="443"/>
      <c r="F160" s="443">
        <f>SUM(F158:F159)</f>
        <v>5000</v>
      </c>
      <c r="G160" s="443"/>
      <c r="H160" s="444">
        <f>D160-F160</f>
        <v>0</v>
      </c>
      <c r="I160" s="443"/>
    </row>
    <row r="161" spans="1:9" x14ac:dyDescent="0.25">
      <c r="A161" s="124" t="s">
        <v>159</v>
      </c>
      <c r="B161" s="51" t="s">
        <v>160</v>
      </c>
      <c r="C161" s="56">
        <v>1500</v>
      </c>
      <c r="D161" s="438"/>
      <c r="E161" s="438"/>
      <c r="F161" s="438"/>
      <c r="G161" s="438"/>
      <c r="H161" s="438"/>
      <c r="I161" s="438"/>
    </row>
    <row r="162" spans="1:9" ht="63.75" x14ac:dyDescent="0.25">
      <c r="A162" s="124"/>
      <c r="B162" s="51" t="s">
        <v>458</v>
      </c>
      <c r="C162" s="56"/>
      <c r="D162" s="438"/>
      <c r="E162" s="438" t="s">
        <v>389</v>
      </c>
      <c r="F162" s="438">
        <v>525</v>
      </c>
      <c r="G162" s="438" t="s">
        <v>401</v>
      </c>
      <c r="H162" s="438"/>
      <c r="I162" s="438"/>
    </row>
    <row r="163" spans="1:9" x14ac:dyDescent="0.25">
      <c r="A163" s="469"/>
      <c r="B163" s="440" t="s">
        <v>459</v>
      </c>
      <c r="C163" s="441"/>
      <c r="D163" s="443">
        <v>500</v>
      </c>
      <c r="E163" s="443"/>
      <c r="F163" s="443">
        <f>F162</f>
        <v>525</v>
      </c>
      <c r="G163" s="443"/>
      <c r="H163" s="444">
        <f>D163-F163</f>
        <v>-25</v>
      </c>
      <c r="I163" s="443"/>
    </row>
    <row r="164" spans="1:9" x14ac:dyDescent="0.25">
      <c r="A164" s="94"/>
      <c r="B164" s="457" t="s">
        <v>162</v>
      </c>
      <c r="C164" s="97">
        <f>SUM(C149:C161)</f>
        <v>31260</v>
      </c>
      <c r="D164" s="455">
        <f>SUM(D163,D160,D156,D152)</f>
        <v>10420</v>
      </c>
      <c r="E164" s="455"/>
      <c r="F164" s="455">
        <f>SUM(F163,F160,F156,F152)</f>
        <v>10445</v>
      </c>
      <c r="G164" s="455"/>
      <c r="H164" s="456">
        <f>D164-F164</f>
        <v>-25</v>
      </c>
      <c r="I164" s="455"/>
    </row>
    <row r="165" spans="1:9" x14ac:dyDescent="0.25">
      <c r="A165" s="445">
        <v>2.6</v>
      </c>
      <c r="B165" s="452" t="s">
        <v>163</v>
      </c>
      <c r="C165" s="363"/>
      <c r="D165" s="447"/>
      <c r="E165" s="447"/>
      <c r="F165" s="447"/>
      <c r="G165" s="447"/>
      <c r="H165" s="447"/>
      <c r="I165" s="447"/>
    </row>
    <row r="166" spans="1:9" x14ac:dyDescent="0.25">
      <c r="A166" s="124" t="s">
        <v>164</v>
      </c>
      <c r="B166" s="51" t="s">
        <v>165</v>
      </c>
      <c r="C166" s="56">
        <v>7200</v>
      </c>
      <c r="D166" s="438"/>
      <c r="E166" s="438"/>
      <c r="F166" s="438"/>
      <c r="G166" s="438"/>
      <c r="H166" s="438"/>
      <c r="I166" s="438"/>
    </row>
    <row r="167" spans="1:9" x14ac:dyDescent="0.25">
      <c r="A167" s="124"/>
      <c r="B167" s="51"/>
      <c r="C167" s="56"/>
      <c r="D167" s="438"/>
      <c r="E167" s="438"/>
      <c r="F167" s="438"/>
      <c r="G167" s="438"/>
      <c r="H167" s="438"/>
      <c r="I167" s="438"/>
    </row>
    <row r="168" spans="1:9" x14ac:dyDescent="0.25">
      <c r="A168" s="124"/>
      <c r="B168" s="51"/>
      <c r="C168" s="56"/>
      <c r="D168" s="438"/>
      <c r="E168" s="438"/>
      <c r="F168" s="438"/>
      <c r="G168" s="438"/>
      <c r="H168" s="438"/>
      <c r="I168" s="438"/>
    </row>
    <row r="169" spans="1:9" x14ac:dyDescent="0.25">
      <c r="A169" s="124"/>
      <c r="B169" s="51"/>
      <c r="C169" s="56"/>
      <c r="D169" s="438"/>
      <c r="E169" s="438"/>
      <c r="F169" s="438"/>
      <c r="G169" s="438"/>
      <c r="H169" s="438"/>
      <c r="I169" s="438"/>
    </row>
    <row r="170" spans="1:9" x14ac:dyDescent="0.25">
      <c r="A170" s="469"/>
      <c r="B170" s="440" t="s">
        <v>460</v>
      </c>
      <c r="C170" s="441"/>
      <c r="D170" s="443">
        <v>0</v>
      </c>
      <c r="E170" s="443"/>
      <c r="F170" s="443">
        <f>SUM(F167:F169)</f>
        <v>0</v>
      </c>
      <c r="G170" s="443"/>
      <c r="H170" s="444">
        <f>D170-F170</f>
        <v>0</v>
      </c>
      <c r="I170" s="443"/>
    </row>
    <row r="171" spans="1:9" ht="30.75" customHeight="1" x14ac:dyDescent="0.25">
      <c r="A171" s="124" t="s">
        <v>167</v>
      </c>
      <c r="B171" s="130" t="s">
        <v>168</v>
      </c>
      <c r="C171" s="56">
        <v>174800</v>
      </c>
      <c r="D171" s="438"/>
      <c r="E171" s="438"/>
      <c r="F171" s="438"/>
      <c r="G171" s="438"/>
      <c r="H171" s="438"/>
      <c r="I171" s="438"/>
    </row>
    <row r="172" spans="1:9" ht="55.5" customHeight="1" x14ac:dyDescent="0.25">
      <c r="A172" s="124"/>
      <c r="B172" s="130"/>
      <c r="C172" s="56"/>
      <c r="D172" s="438"/>
      <c r="E172" s="438"/>
      <c r="F172" s="438"/>
      <c r="G172" s="438"/>
      <c r="H172" s="438"/>
      <c r="I172" s="438"/>
    </row>
    <row r="173" spans="1:9" x14ac:dyDescent="0.25">
      <c r="A173" s="124"/>
      <c r="B173" s="130"/>
      <c r="C173" s="56"/>
      <c r="D173" s="438"/>
      <c r="E173" s="438"/>
      <c r="F173" s="438"/>
      <c r="G173" s="438"/>
      <c r="H173" s="438"/>
      <c r="I173" s="438"/>
    </row>
    <row r="174" spans="1:9" x14ac:dyDescent="0.25">
      <c r="A174" s="124"/>
      <c r="B174" s="130"/>
      <c r="C174" s="56"/>
      <c r="D174" s="438"/>
      <c r="E174" s="438"/>
      <c r="F174" s="438"/>
      <c r="G174" s="438"/>
      <c r="H174" s="438"/>
      <c r="I174" s="438"/>
    </row>
    <row r="175" spans="1:9" x14ac:dyDescent="0.25">
      <c r="A175" s="469"/>
      <c r="B175" s="470" t="s">
        <v>461</v>
      </c>
      <c r="C175" s="441"/>
      <c r="D175" s="443">
        <v>0</v>
      </c>
      <c r="E175" s="443"/>
      <c r="F175" s="443">
        <f>SUM(F172:F174)</f>
        <v>0</v>
      </c>
      <c r="G175" s="443"/>
      <c r="H175" s="444">
        <f>D175-F175</f>
        <v>0</v>
      </c>
      <c r="I175" s="443"/>
    </row>
    <row r="176" spans="1:9" x14ac:dyDescent="0.25">
      <c r="A176" s="94"/>
      <c r="B176" s="457" t="s">
        <v>170</v>
      </c>
      <c r="C176" s="97">
        <f>SUM(C166:C171)</f>
        <v>182000</v>
      </c>
      <c r="D176" s="455">
        <f>SUM(D175,D170)</f>
        <v>0</v>
      </c>
      <c r="E176" s="455"/>
      <c r="F176" s="455">
        <f>SUM(F175,F170)</f>
        <v>0</v>
      </c>
      <c r="G176" s="455"/>
      <c r="H176" s="456">
        <f>D176-F176</f>
        <v>0</v>
      </c>
      <c r="I176" s="455"/>
    </row>
    <row r="177" spans="1:9" x14ac:dyDescent="0.25">
      <c r="A177" s="445">
        <v>2.7</v>
      </c>
      <c r="B177" s="452" t="s">
        <v>171</v>
      </c>
      <c r="C177" s="366"/>
      <c r="D177" s="447"/>
      <c r="E177" s="447"/>
      <c r="F177" s="447"/>
      <c r="G177" s="447"/>
      <c r="H177" s="447"/>
      <c r="I177" s="447"/>
    </row>
    <row r="178" spans="1:9" ht="38.25" x14ac:dyDescent="0.25">
      <c r="A178" s="124" t="s">
        <v>172</v>
      </c>
      <c r="B178" s="51" t="s">
        <v>173</v>
      </c>
      <c r="C178" s="56">
        <v>0</v>
      </c>
      <c r="D178" s="438"/>
      <c r="E178" s="438"/>
      <c r="F178" s="438"/>
      <c r="G178" s="438"/>
      <c r="H178" s="438"/>
      <c r="I178" s="438"/>
    </row>
    <row r="179" spans="1:9" x14ac:dyDescent="0.25">
      <c r="A179" s="124"/>
      <c r="B179" s="51"/>
      <c r="C179" s="56"/>
      <c r="D179" s="438"/>
      <c r="E179" s="438"/>
      <c r="F179" s="438"/>
      <c r="G179" s="438"/>
      <c r="H179" s="438"/>
      <c r="I179" s="438"/>
    </row>
    <row r="180" spans="1:9" x14ac:dyDescent="0.25">
      <c r="A180" s="124"/>
      <c r="B180" s="51"/>
      <c r="C180" s="56"/>
      <c r="D180" s="438"/>
      <c r="E180" s="438"/>
      <c r="F180" s="438"/>
      <c r="G180" s="438"/>
      <c r="H180" s="438"/>
      <c r="I180" s="438"/>
    </row>
    <row r="181" spans="1:9" x14ac:dyDescent="0.25">
      <c r="A181" s="124"/>
      <c r="B181" s="51"/>
      <c r="C181" s="56"/>
      <c r="D181" s="438"/>
      <c r="E181" s="438"/>
      <c r="F181" s="438"/>
      <c r="G181" s="438"/>
      <c r="H181" s="438"/>
      <c r="I181" s="438"/>
    </row>
    <row r="182" spans="1:9" x14ac:dyDescent="0.25">
      <c r="A182" s="124"/>
      <c r="B182" s="51"/>
      <c r="C182" s="56"/>
      <c r="D182" s="438"/>
      <c r="E182" s="438"/>
      <c r="F182" s="438"/>
      <c r="G182" s="438"/>
      <c r="H182" s="438"/>
      <c r="I182" s="438"/>
    </row>
    <row r="183" spans="1:9" x14ac:dyDescent="0.25">
      <c r="A183" s="124"/>
      <c r="B183" s="51"/>
      <c r="C183" s="56"/>
      <c r="D183" s="438"/>
      <c r="E183" s="438"/>
      <c r="F183" s="438"/>
      <c r="G183" s="438"/>
      <c r="H183" s="438"/>
      <c r="I183" s="438"/>
    </row>
    <row r="184" spans="1:9" x14ac:dyDescent="0.25">
      <c r="A184" s="469"/>
      <c r="B184" s="440" t="s">
        <v>462</v>
      </c>
      <c r="C184" s="441"/>
      <c r="D184" s="443">
        <v>0</v>
      </c>
      <c r="E184" s="443"/>
      <c r="F184" s="443">
        <f>SUM(F179:F183)</f>
        <v>0</v>
      </c>
      <c r="G184" s="443"/>
      <c r="H184" s="444">
        <f>D184-F184</f>
        <v>0</v>
      </c>
      <c r="I184" s="443"/>
    </row>
    <row r="185" spans="1:9" x14ac:dyDescent="0.25">
      <c r="A185" s="124" t="s">
        <v>174</v>
      </c>
      <c r="B185" s="51" t="s">
        <v>175</v>
      </c>
      <c r="C185" s="56">
        <v>0</v>
      </c>
      <c r="D185" s="438"/>
      <c r="E185" s="438"/>
      <c r="F185" s="438"/>
      <c r="G185" s="438"/>
      <c r="H185" s="438"/>
      <c r="I185" s="438"/>
    </row>
    <row r="186" spans="1:9" x14ac:dyDescent="0.25">
      <c r="A186" s="124"/>
      <c r="B186" s="51"/>
      <c r="C186" s="56"/>
      <c r="D186" s="438"/>
      <c r="E186" s="438"/>
      <c r="F186" s="438"/>
      <c r="G186" s="438"/>
      <c r="H186" s="438"/>
      <c r="I186" s="438"/>
    </row>
    <row r="187" spans="1:9" x14ac:dyDescent="0.25">
      <c r="A187" s="124"/>
      <c r="B187" s="51"/>
      <c r="C187" s="56"/>
      <c r="D187" s="438"/>
      <c r="E187" s="438"/>
      <c r="F187" s="438"/>
      <c r="G187" s="438"/>
      <c r="H187" s="438"/>
      <c r="I187" s="438"/>
    </row>
    <row r="188" spans="1:9" x14ac:dyDescent="0.25">
      <c r="A188" s="124"/>
      <c r="B188" s="51"/>
      <c r="C188" s="56"/>
      <c r="D188" s="438"/>
      <c r="E188" s="438"/>
      <c r="F188" s="438"/>
      <c r="G188" s="438"/>
      <c r="H188" s="438"/>
      <c r="I188" s="438"/>
    </row>
    <row r="189" spans="1:9" x14ac:dyDescent="0.25">
      <c r="A189" s="124"/>
      <c r="B189" s="51"/>
      <c r="C189" s="56"/>
      <c r="D189" s="438"/>
      <c r="E189" s="438"/>
      <c r="F189" s="438"/>
      <c r="G189" s="438"/>
      <c r="H189" s="438"/>
      <c r="I189" s="438"/>
    </row>
    <row r="190" spans="1:9" x14ac:dyDescent="0.25">
      <c r="A190" s="469"/>
      <c r="B190" s="440" t="s">
        <v>463</v>
      </c>
      <c r="C190" s="441"/>
      <c r="D190" s="443">
        <v>0</v>
      </c>
      <c r="E190" s="443"/>
      <c r="F190" s="443">
        <f>SUM(F186:F189)</f>
        <v>0</v>
      </c>
      <c r="G190" s="443"/>
      <c r="H190" s="444">
        <f>D190-F190</f>
        <v>0</v>
      </c>
      <c r="I190" s="443"/>
    </row>
    <row r="191" spans="1:9" x14ac:dyDescent="0.25">
      <c r="A191" s="94"/>
      <c r="B191" s="457" t="s">
        <v>176</v>
      </c>
      <c r="C191" s="97">
        <f>SUM(C178:C185)</f>
        <v>0</v>
      </c>
      <c r="D191" s="455">
        <f>SUM(D190,D184)</f>
        <v>0</v>
      </c>
      <c r="E191" s="455"/>
      <c r="F191" s="455">
        <f>SUM(F190,F184)</f>
        <v>0</v>
      </c>
      <c r="G191" s="455"/>
      <c r="H191" s="456">
        <f>D191-F191</f>
        <v>0</v>
      </c>
      <c r="I191" s="455"/>
    </row>
    <row r="192" spans="1:9" x14ac:dyDescent="0.25">
      <c r="A192" s="445">
        <v>2.8</v>
      </c>
      <c r="B192" s="452" t="s">
        <v>182</v>
      </c>
      <c r="C192" s="363"/>
      <c r="D192" s="447"/>
      <c r="E192" s="447"/>
      <c r="F192" s="447"/>
      <c r="G192" s="447"/>
      <c r="H192" s="447"/>
      <c r="I192" s="447"/>
    </row>
    <row r="193" spans="1:9" ht="38.25" x14ac:dyDescent="0.25">
      <c r="A193" s="90" t="s">
        <v>183</v>
      </c>
      <c r="B193" s="51" t="s">
        <v>189</v>
      </c>
      <c r="C193" s="56">
        <v>4800</v>
      </c>
      <c r="D193" s="438"/>
      <c r="E193" s="438"/>
      <c r="F193" s="438"/>
      <c r="G193" s="438"/>
      <c r="H193" s="438"/>
      <c r="I193" s="438"/>
    </row>
    <row r="194" spans="1:9" ht="38.25" x14ac:dyDescent="0.25">
      <c r="A194" s="90"/>
      <c r="B194" s="102" t="s">
        <v>464</v>
      </c>
      <c r="C194" s="56"/>
      <c r="D194" s="438"/>
      <c r="E194" s="438" t="s">
        <v>465</v>
      </c>
      <c r="F194" s="438">
        <v>4800</v>
      </c>
      <c r="G194" s="438" t="s">
        <v>466</v>
      </c>
      <c r="H194" s="438"/>
      <c r="I194" s="438"/>
    </row>
    <row r="195" spans="1:9" x14ac:dyDescent="0.25">
      <c r="A195" s="90"/>
      <c r="B195" s="102"/>
      <c r="C195" s="56"/>
      <c r="D195" s="438"/>
      <c r="E195" s="438"/>
      <c r="F195" s="438"/>
      <c r="G195" s="438"/>
      <c r="H195" s="438"/>
      <c r="I195" s="438"/>
    </row>
    <row r="196" spans="1:9" x14ac:dyDescent="0.25">
      <c r="A196" s="449"/>
      <c r="B196" s="440" t="s">
        <v>467</v>
      </c>
      <c r="C196" s="441"/>
      <c r="D196" s="443">
        <v>4800</v>
      </c>
      <c r="E196" s="443"/>
      <c r="F196" s="443">
        <f>SUM(F194:F195)</f>
        <v>4800</v>
      </c>
      <c r="G196" s="443"/>
      <c r="H196" s="444">
        <f>D196-F196</f>
        <v>0</v>
      </c>
      <c r="I196" s="443"/>
    </row>
    <row r="197" spans="1:9" x14ac:dyDescent="0.25">
      <c r="A197" s="90" t="s">
        <v>184</v>
      </c>
      <c r="B197" s="102" t="s">
        <v>190</v>
      </c>
      <c r="C197" s="56">
        <v>1500</v>
      </c>
      <c r="D197" s="438"/>
      <c r="E197" s="438"/>
      <c r="F197" s="438"/>
      <c r="G197" s="438"/>
      <c r="H197" s="438"/>
      <c r="I197" s="438"/>
    </row>
    <row r="198" spans="1:9" x14ac:dyDescent="0.25">
      <c r="A198" s="90"/>
      <c r="B198" s="102"/>
      <c r="C198" s="56"/>
      <c r="D198" s="438"/>
      <c r="E198" s="438"/>
      <c r="F198" s="438"/>
      <c r="G198" s="438"/>
      <c r="H198" s="438"/>
      <c r="I198" s="438"/>
    </row>
    <row r="199" spans="1:9" x14ac:dyDescent="0.25">
      <c r="A199" s="90"/>
      <c r="B199" s="102"/>
      <c r="C199" s="56"/>
      <c r="D199" s="438"/>
      <c r="E199" s="438"/>
      <c r="F199" s="438"/>
      <c r="G199" s="438"/>
      <c r="H199" s="438"/>
      <c r="I199" s="438"/>
    </row>
    <row r="200" spans="1:9" x14ac:dyDescent="0.25">
      <c r="A200" s="90"/>
      <c r="B200" s="102"/>
      <c r="C200" s="56"/>
      <c r="D200" s="438"/>
      <c r="E200" s="438"/>
      <c r="F200" s="438"/>
      <c r="G200" s="438"/>
      <c r="H200" s="438"/>
      <c r="I200" s="438"/>
    </row>
    <row r="201" spans="1:9" x14ac:dyDescent="0.25">
      <c r="A201" s="90"/>
      <c r="B201" s="102"/>
      <c r="C201" s="56"/>
      <c r="D201" s="438"/>
      <c r="E201" s="438"/>
      <c r="F201" s="438"/>
      <c r="G201" s="438"/>
      <c r="H201" s="438"/>
      <c r="I201" s="438"/>
    </row>
    <row r="202" spans="1:9" x14ac:dyDescent="0.25">
      <c r="A202" s="449"/>
      <c r="B202" s="440" t="s">
        <v>468</v>
      </c>
      <c r="C202" s="441"/>
      <c r="D202" s="443">
        <v>1500</v>
      </c>
      <c r="E202" s="443"/>
      <c r="F202" s="443">
        <f>SUM(F198:F201)</f>
        <v>0</v>
      </c>
      <c r="G202" s="443"/>
      <c r="H202" s="444">
        <f>D202-F202</f>
        <v>1500</v>
      </c>
      <c r="I202" s="443"/>
    </row>
    <row r="203" spans="1:9" x14ac:dyDescent="0.25">
      <c r="A203" s="94"/>
      <c r="B203" s="457" t="s">
        <v>181</v>
      </c>
      <c r="C203" s="97">
        <f>SUM(C193:C202)</f>
        <v>6300</v>
      </c>
      <c r="D203" s="455">
        <f>D196+D202</f>
        <v>6300</v>
      </c>
      <c r="E203" s="455"/>
      <c r="F203" s="455">
        <f>F196+F202</f>
        <v>4800</v>
      </c>
      <c r="G203" s="455"/>
      <c r="H203" s="456">
        <f>D203-F203</f>
        <v>1500</v>
      </c>
      <c r="I203" s="455">
        <f>I196+I202</f>
        <v>0</v>
      </c>
    </row>
    <row r="204" spans="1:9" x14ac:dyDescent="0.25">
      <c r="A204" s="471">
        <v>2.9</v>
      </c>
      <c r="B204" s="452" t="s">
        <v>191</v>
      </c>
      <c r="C204" s="363"/>
      <c r="D204" s="447"/>
      <c r="E204" s="447"/>
      <c r="F204" s="447"/>
      <c r="G204" s="447"/>
      <c r="H204" s="447"/>
      <c r="I204" s="447"/>
    </row>
    <row r="205" spans="1:9" ht="25.5" x14ac:dyDescent="0.25">
      <c r="A205" s="124" t="s">
        <v>192</v>
      </c>
      <c r="B205" s="51" t="s">
        <v>193</v>
      </c>
      <c r="C205" s="56"/>
      <c r="D205" s="438"/>
      <c r="E205" s="438"/>
      <c r="F205" s="438"/>
      <c r="G205" s="438"/>
      <c r="H205" s="438"/>
      <c r="I205" s="438"/>
    </row>
    <row r="206" spans="1:9" x14ac:dyDescent="0.25">
      <c r="A206" s="124"/>
      <c r="B206" s="51"/>
      <c r="C206" s="56"/>
      <c r="D206" s="438"/>
      <c r="E206" s="438"/>
      <c r="F206" s="438"/>
      <c r="G206" s="438"/>
      <c r="H206" s="438"/>
      <c r="I206" s="438"/>
    </row>
    <row r="207" spans="1:9" x14ac:dyDescent="0.25">
      <c r="A207" s="469"/>
      <c r="B207" s="440" t="s">
        <v>469</v>
      </c>
      <c r="C207" s="441"/>
      <c r="D207" s="443"/>
      <c r="E207" s="443"/>
      <c r="F207" s="443">
        <f>SUM(F206:F206)</f>
        <v>0</v>
      </c>
      <c r="G207" s="443"/>
      <c r="H207" s="444">
        <f>D207-F207</f>
        <v>0</v>
      </c>
      <c r="I207" s="443"/>
    </row>
    <row r="208" spans="1:9" x14ac:dyDescent="0.25">
      <c r="A208" s="94"/>
      <c r="B208" s="457" t="s">
        <v>470</v>
      </c>
      <c r="C208" s="97">
        <f>C205</f>
        <v>0</v>
      </c>
      <c r="D208" s="455">
        <f>D207</f>
        <v>0</v>
      </c>
      <c r="E208" s="455"/>
      <c r="F208" s="455">
        <f>F207</f>
        <v>0</v>
      </c>
      <c r="G208" s="455"/>
      <c r="H208" s="456">
        <f>D208-F208</f>
        <v>0</v>
      </c>
      <c r="I208" s="455"/>
    </row>
    <row r="209" spans="1:9" x14ac:dyDescent="0.25">
      <c r="A209" s="472">
        <v>2.1</v>
      </c>
      <c r="B209" s="452" t="s">
        <v>197</v>
      </c>
      <c r="C209" s="363"/>
      <c r="D209" s="447"/>
      <c r="E209" s="447"/>
      <c r="F209" s="447"/>
      <c r="G209" s="447"/>
      <c r="H209" s="447"/>
      <c r="I209" s="447"/>
    </row>
    <row r="210" spans="1:9" ht="25.5" x14ac:dyDescent="0.25">
      <c r="A210" s="124" t="s">
        <v>198</v>
      </c>
      <c r="B210" s="51" t="s">
        <v>199</v>
      </c>
      <c r="C210" s="56">
        <v>0</v>
      </c>
      <c r="D210" s="438"/>
      <c r="E210" s="438"/>
      <c r="F210" s="438"/>
      <c r="G210" s="438"/>
      <c r="H210" s="438"/>
      <c r="I210" s="438"/>
    </row>
    <row r="211" spans="1:9" x14ac:dyDescent="0.25">
      <c r="A211" s="124"/>
      <c r="B211" s="51"/>
      <c r="C211" s="56"/>
      <c r="D211" s="438"/>
      <c r="E211" s="438"/>
      <c r="F211" s="438"/>
      <c r="G211" s="438"/>
      <c r="H211" s="438"/>
      <c r="I211" s="438"/>
    </row>
    <row r="212" spans="1:9" x14ac:dyDescent="0.25">
      <c r="A212" s="469"/>
      <c r="B212" s="440" t="s">
        <v>471</v>
      </c>
      <c r="C212" s="441"/>
      <c r="D212" s="443"/>
      <c r="E212" s="443"/>
      <c r="F212" s="443">
        <f>SUM(F211:F211)</f>
        <v>0</v>
      </c>
      <c r="G212" s="443"/>
      <c r="H212" s="444">
        <f>D212-F212</f>
        <v>0</v>
      </c>
      <c r="I212" s="443"/>
    </row>
    <row r="213" spans="1:9" x14ac:dyDescent="0.25">
      <c r="A213" s="124" t="s">
        <v>194</v>
      </c>
      <c r="B213" s="51" t="s">
        <v>200</v>
      </c>
      <c r="C213" s="56">
        <v>0</v>
      </c>
      <c r="D213" s="438"/>
      <c r="E213" s="438"/>
      <c r="F213" s="438"/>
      <c r="G213" s="438"/>
      <c r="H213" s="438"/>
      <c r="I213" s="438"/>
    </row>
    <row r="214" spans="1:9" x14ac:dyDescent="0.25">
      <c r="A214" s="124"/>
      <c r="B214" s="51"/>
      <c r="C214" s="56"/>
      <c r="D214" s="438"/>
      <c r="E214" s="438"/>
      <c r="F214" s="438"/>
      <c r="G214" s="438"/>
      <c r="H214" s="438"/>
      <c r="I214" s="438"/>
    </row>
    <row r="215" spans="1:9" x14ac:dyDescent="0.25">
      <c r="A215" s="469"/>
      <c r="B215" s="440"/>
      <c r="C215" s="441"/>
      <c r="D215" s="443"/>
      <c r="E215" s="443"/>
      <c r="F215" s="443">
        <f>SUM(F214:F214)</f>
        <v>0</v>
      </c>
      <c r="G215" s="443"/>
      <c r="H215" s="444">
        <f>D215-F215</f>
        <v>0</v>
      </c>
      <c r="I215" s="443"/>
    </row>
    <row r="216" spans="1:9" x14ac:dyDescent="0.25">
      <c r="A216" s="94"/>
      <c r="B216" s="457" t="s">
        <v>196</v>
      </c>
      <c r="C216" s="97">
        <f>SUM(C210:C215)</f>
        <v>0</v>
      </c>
      <c r="D216" s="455">
        <f>SUM(D212,D215)</f>
        <v>0</v>
      </c>
      <c r="E216" s="455"/>
      <c r="F216" s="455">
        <f>SUM(F212,F215)</f>
        <v>0</v>
      </c>
      <c r="G216" s="455"/>
      <c r="H216" s="456">
        <f>D216-F216</f>
        <v>0</v>
      </c>
      <c r="I216" s="455"/>
    </row>
    <row r="217" spans="1:9" ht="25.5" x14ac:dyDescent="0.25">
      <c r="A217" s="445">
        <v>2.11</v>
      </c>
      <c r="B217" s="452" t="s">
        <v>202</v>
      </c>
      <c r="C217" s="366"/>
      <c r="D217" s="447"/>
      <c r="E217" s="447"/>
      <c r="F217" s="447"/>
      <c r="G217" s="447"/>
      <c r="H217" s="447"/>
      <c r="I217" s="447"/>
    </row>
    <row r="218" spans="1:9" ht="56.25" customHeight="1" x14ac:dyDescent="0.25">
      <c r="A218" s="124" t="s">
        <v>203</v>
      </c>
      <c r="B218" s="51" t="s">
        <v>204</v>
      </c>
      <c r="C218" s="56">
        <v>0</v>
      </c>
      <c r="D218" s="438">
        <v>0</v>
      </c>
      <c r="E218" s="438"/>
      <c r="F218" s="438"/>
      <c r="G218" s="438"/>
      <c r="H218" s="438"/>
      <c r="I218" s="438"/>
    </row>
    <row r="219" spans="1:9" x14ac:dyDescent="0.25">
      <c r="A219" s="124" t="s">
        <v>206</v>
      </c>
      <c r="B219" s="51" t="s">
        <v>207</v>
      </c>
      <c r="C219" s="56">
        <v>0</v>
      </c>
      <c r="D219" s="438">
        <v>0</v>
      </c>
      <c r="E219" s="438"/>
      <c r="F219" s="438"/>
      <c r="G219" s="438"/>
      <c r="H219" s="438"/>
      <c r="I219" s="438"/>
    </row>
    <row r="220" spans="1:9" x14ac:dyDescent="0.25">
      <c r="A220" s="94"/>
      <c r="B220" s="457" t="s">
        <v>208</v>
      </c>
      <c r="C220" s="97">
        <f>SUM(C218:C219)</f>
        <v>0</v>
      </c>
      <c r="D220" s="455">
        <f>SUM(D218:D219)</f>
        <v>0</v>
      </c>
      <c r="E220" s="455"/>
      <c r="F220" s="455">
        <f>SUM(F218:F219)</f>
        <v>0</v>
      </c>
      <c r="G220" s="455"/>
      <c r="H220" s="456">
        <f>D220-F220</f>
        <v>0</v>
      </c>
      <c r="I220" s="455"/>
    </row>
    <row r="221" spans="1:9" x14ac:dyDescent="0.25">
      <c r="A221" s="445">
        <v>2.12</v>
      </c>
      <c r="B221" s="473" t="s">
        <v>209</v>
      </c>
      <c r="C221" s="363"/>
      <c r="D221" s="447"/>
      <c r="E221" s="447"/>
      <c r="F221" s="447"/>
      <c r="G221" s="447"/>
      <c r="H221" s="447"/>
      <c r="I221" s="447"/>
    </row>
    <row r="222" spans="1:9" ht="25.5" x14ac:dyDescent="0.25">
      <c r="A222" s="152" t="s">
        <v>210</v>
      </c>
      <c r="B222" s="51" t="s">
        <v>211</v>
      </c>
      <c r="C222" s="56"/>
      <c r="D222" s="438">
        <v>0</v>
      </c>
      <c r="E222" s="438"/>
      <c r="F222" s="438"/>
      <c r="G222" s="438"/>
      <c r="H222" s="438"/>
      <c r="I222" s="438"/>
    </row>
    <row r="223" spans="1:9" x14ac:dyDescent="0.25">
      <c r="A223" s="94"/>
      <c r="B223" s="457" t="s">
        <v>212</v>
      </c>
      <c r="C223" s="97">
        <f>C222</f>
        <v>0</v>
      </c>
      <c r="D223" s="455">
        <f>D222</f>
        <v>0</v>
      </c>
      <c r="E223" s="455"/>
      <c r="F223" s="455">
        <f>F222</f>
        <v>0</v>
      </c>
      <c r="G223" s="455"/>
      <c r="H223" s="456">
        <f>D223-F223</f>
        <v>0</v>
      </c>
      <c r="I223" s="455"/>
    </row>
    <row r="224" spans="1:9" x14ac:dyDescent="0.25">
      <c r="A224" s="359"/>
      <c r="B224" s="462" t="s">
        <v>213</v>
      </c>
      <c r="C224" s="98">
        <f>SUM(C223,C220,C216,C208,C203,C191,C176,C164,C147,C130,C111,C93)</f>
        <v>343400</v>
      </c>
      <c r="D224" s="464">
        <f>SUM(D223,D220,D216,D208,D203,D191,D176,D164,D147,D130,D111,D93)</f>
        <v>42060</v>
      </c>
      <c r="E224" s="464"/>
      <c r="F224" s="464">
        <f>SUM(F223,F220,F216,F208,F203,F191,F176,F164,F147,F130,F111,F93)</f>
        <v>35335</v>
      </c>
      <c r="G224" s="464"/>
      <c r="H224" s="465">
        <f>D224-F224</f>
        <v>6725</v>
      </c>
      <c r="I224" s="464"/>
    </row>
    <row r="225" spans="1:9" x14ac:dyDescent="0.25">
      <c r="A225" s="116"/>
      <c r="B225" s="466" t="s">
        <v>214</v>
      </c>
      <c r="C225" s="119"/>
      <c r="D225" s="474"/>
      <c r="E225" s="474"/>
      <c r="F225" s="474"/>
      <c r="G225" s="474"/>
      <c r="H225" s="474"/>
      <c r="I225" s="474"/>
    </row>
    <row r="226" spans="1:9" ht="38.25" x14ac:dyDescent="0.25">
      <c r="A226" s="445">
        <v>3.1</v>
      </c>
      <c r="B226" s="452" t="s">
        <v>215</v>
      </c>
      <c r="C226" s="371"/>
      <c r="D226" s="447"/>
      <c r="E226" s="447"/>
      <c r="F226" s="447"/>
      <c r="G226" s="447"/>
      <c r="H226" s="447"/>
      <c r="I226" s="447"/>
    </row>
    <row r="227" spans="1:9" x14ac:dyDescent="0.25">
      <c r="A227" s="157" t="s">
        <v>216</v>
      </c>
      <c r="B227" s="51" t="s">
        <v>217</v>
      </c>
      <c r="C227" s="56">
        <v>5000</v>
      </c>
      <c r="D227" s="438"/>
      <c r="E227" s="438"/>
      <c r="F227" s="438"/>
      <c r="G227" s="438"/>
      <c r="H227" s="438"/>
      <c r="I227" s="438"/>
    </row>
    <row r="228" spans="1:9" ht="63.75" x14ac:dyDescent="0.25">
      <c r="A228" s="157"/>
      <c r="B228" s="51" t="s">
        <v>472</v>
      </c>
      <c r="C228" s="56"/>
      <c r="D228" s="438"/>
      <c r="E228" s="438" t="s">
        <v>404</v>
      </c>
      <c r="F228" s="438">
        <v>240</v>
      </c>
      <c r="G228" s="438" t="s">
        <v>405</v>
      </c>
      <c r="H228" s="438"/>
      <c r="I228" s="438"/>
    </row>
    <row r="229" spans="1:9" ht="51" x14ac:dyDescent="0.25">
      <c r="A229" s="157"/>
      <c r="B229" s="51" t="s">
        <v>473</v>
      </c>
      <c r="C229" s="56"/>
      <c r="D229" s="438"/>
      <c r="E229" s="438" t="s">
        <v>404</v>
      </c>
      <c r="F229" s="438">
        <v>2250</v>
      </c>
      <c r="G229" s="438" t="s">
        <v>474</v>
      </c>
      <c r="H229" s="438"/>
      <c r="I229" s="438"/>
    </row>
    <row r="230" spans="1:9" x14ac:dyDescent="0.25">
      <c r="A230" s="157"/>
      <c r="B230" s="51"/>
      <c r="C230" s="56"/>
      <c r="D230" s="438"/>
      <c r="E230" s="438"/>
      <c r="F230" s="438"/>
      <c r="G230" s="438"/>
      <c r="H230" s="438"/>
      <c r="I230" s="438"/>
    </row>
    <row r="231" spans="1:9" x14ac:dyDescent="0.25">
      <c r="A231" s="157"/>
      <c r="B231" s="51"/>
      <c r="C231" s="56"/>
      <c r="D231" s="438"/>
      <c r="E231" s="438"/>
      <c r="F231" s="438"/>
      <c r="G231" s="438"/>
      <c r="H231" s="438"/>
      <c r="I231" s="438"/>
    </row>
    <row r="232" spans="1:9" x14ac:dyDescent="0.25">
      <c r="A232" s="475"/>
      <c r="B232" s="440" t="s">
        <v>475</v>
      </c>
      <c r="C232" s="441"/>
      <c r="D232" s="443">
        <v>2500</v>
      </c>
      <c r="E232" s="443"/>
      <c r="F232" s="443">
        <f>SUM(F228:F231)</f>
        <v>2490</v>
      </c>
      <c r="G232" s="443"/>
      <c r="H232" s="444">
        <f>D232-F232</f>
        <v>10</v>
      </c>
      <c r="I232" s="443"/>
    </row>
    <row r="233" spans="1:9" x14ac:dyDescent="0.25">
      <c r="A233" s="157" t="s">
        <v>218</v>
      </c>
      <c r="B233" s="51" t="s">
        <v>219</v>
      </c>
      <c r="C233" s="56">
        <v>7000</v>
      </c>
      <c r="D233" s="438"/>
      <c r="E233" s="438"/>
      <c r="F233" s="438"/>
      <c r="G233" s="438"/>
      <c r="H233" s="438"/>
      <c r="I233" s="438"/>
    </row>
    <row r="234" spans="1:9" ht="63.75" x14ac:dyDescent="0.25">
      <c r="A234" s="157"/>
      <c r="B234" s="51" t="s">
        <v>476</v>
      </c>
      <c r="C234" s="56"/>
      <c r="D234" s="438"/>
      <c r="E234" s="438" t="s">
        <v>404</v>
      </c>
      <c r="F234" s="438">
        <v>4920</v>
      </c>
      <c r="G234" s="438" t="s">
        <v>424</v>
      </c>
      <c r="H234" s="438"/>
      <c r="I234" s="438"/>
    </row>
    <row r="235" spans="1:9" x14ac:dyDescent="0.25">
      <c r="A235" s="157"/>
      <c r="B235" s="51"/>
      <c r="C235" s="56"/>
      <c r="D235" s="438"/>
      <c r="E235" s="438"/>
      <c r="F235" s="438"/>
      <c r="G235" s="438"/>
      <c r="H235" s="438"/>
      <c r="I235" s="438"/>
    </row>
    <row r="236" spans="1:9" x14ac:dyDescent="0.25">
      <c r="A236" s="157"/>
      <c r="B236" s="51"/>
      <c r="C236" s="56"/>
      <c r="D236" s="438"/>
      <c r="E236" s="438"/>
      <c r="F236" s="438"/>
      <c r="G236" s="438"/>
      <c r="H236" s="438"/>
      <c r="I236" s="438"/>
    </row>
    <row r="237" spans="1:9" x14ac:dyDescent="0.25">
      <c r="A237" s="475"/>
      <c r="B237" s="440" t="s">
        <v>477</v>
      </c>
      <c r="C237" s="441"/>
      <c r="D237" s="443">
        <v>3500</v>
      </c>
      <c r="E237" s="443"/>
      <c r="F237" s="443">
        <f>SUM(F234:F236)</f>
        <v>4920</v>
      </c>
      <c r="G237" s="443"/>
      <c r="H237" s="444">
        <f>D237-F237</f>
        <v>-1420</v>
      </c>
      <c r="I237" s="443"/>
    </row>
    <row r="238" spans="1:9" ht="25.5" x14ac:dyDescent="0.25">
      <c r="A238" s="157" t="s">
        <v>220</v>
      </c>
      <c r="B238" s="51" t="s">
        <v>221</v>
      </c>
      <c r="C238" s="56">
        <v>15000</v>
      </c>
      <c r="D238" s="438"/>
      <c r="E238" s="438"/>
      <c r="F238" s="438"/>
      <c r="G238" s="438"/>
      <c r="H238" s="438"/>
      <c r="I238" s="438"/>
    </row>
    <row r="239" spans="1:9" ht="63.75" x14ac:dyDescent="0.25">
      <c r="A239" s="157"/>
      <c r="B239" s="51" t="s">
        <v>478</v>
      </c>
      <c r="C239" s="56"/>
      <c r="D239" s="438"/>
      <c r="E239" s="438" t="s">
        <v>404</v>
      </c>
      <c r="F239" s="438">
        <v>5000</v>
      </c>
      <c r="G239" s="438" t="s">
        <v>413</v>
      </c>
      <c r="H239" s="438"/>
      <c r="I239" s="438"/>
    </row>
    <row r="240" spans="1:9" x14ac:dyDescent="0.25">
      <c r="A240" s="157"/>
      <c r="B240" s="51"/>
      <c r="C240" s="56"/>
      <c r="D240" s="438"/>
      <c r="E240" s="438"/>
      <c r="F240" s="438"/>
      <c r="G240" s="438"/>
      <c r="H240" s="438"/>
      <c r="I240" s="438"/>
    </row>
    <row r="241" spans="1:9" x14ac:dyDescent="0.25">
      <c r="A241" s="157"/>
      <c r="B241" s="51"/>
      <c r="C241" s="56"/>
      <c r="D241" s="438"/>
      <c r="E241" s="438"/>
      <c r="F241" s="438"/>
      <c r="G241" s="438"/>
      <c r="H241" s="438"/>
      <c r="I241" s="438"/>
    </row>
    <row r="242" spans="1:9" x14ac:dyDescent="0.25">
      <c r="A242" s="157"/>
      <c r="B242" s="51"/>
      <c r="C242" s="56"/>
      <c r="D242" s="438"/>
      <c r="E242" s="438"/>
      <c r="F242" s="438"/>
      <c r="G242" s="438"/>
      <c r="H242" s="438"/>
      <c r="I242" s="438"/>
    </row>
    <row r="243" spans="1:9" x14ac:dyDescent="0.25">
      <c r="A243" s="157"/>
      <c r="B243" s="51"/>
      <c r="C243" s="56"/>
      <c r="D243" s="438"/>
      <c r="E243" s="438"/>
      <c r="F243" s="438"/>
      <c r="G243" s="438"/>
      <c r="H243" s="438"/>
      <c r="I243" s="438"/>
    </row>
    <row r="244" spans="1:9" x14ac:dyDescent="0.25">
      <c r="A244" s="475"/>
      <c r="B244" s="440" t="s">
        <v>479</v>
      </c>
      <c r="C244" s="441"/>
      <c r="D244" s="443">
        <v>7500</v>
      </c>
      <c r="E244" s="443"/>
      <c r="F244" s="443">
        <f>SUM(F239:F243)</f>
        <v>5000</v>
      </c>
      <c r="G244" s="443"/>
      <c r="H244" s="444">
        <f>D244-F244</f>
        <v>2500</v>
      </c>
      <c r="I244" s="443"/>
    </row>
    <row r="245" spans="1:9" x14ac:dyDescent="0.25">
      <c r="A245" s="157" t="s">
        <v>223</v>
      </c>
      <c r="B245" s="51" t="s">
        <v>224</v>
      </c>
      <c r="C245" s="56">
        <v>2000</v>
      </c>
      <c r="D245" s="438"/>
      <c r="E245" s="438"/>
      <c r="F245" s="438"/>
      <c r="G245" s="438"/>
      <c r="H245" s="438"/>
      <c r="I245" s="438"/>
    </row>
    <row r="246" spans="1:9" ht="51" x14ac:dyDescent="0.25">
      <c r="A246" s="157"/>
      <c r="B246" s="51" t="s">
        <v>480</v>
      </c>
      <c r="C246" s="56"/>
      <c r="D246" s="438"/>
      <c r="E246" s="438" t="s">
        <v>404</v>
      </c>
      <c r="F246" s="438">
        <v>1015</v>
      </c>
      <c r="G246" s="438" t="s">
        <v>416</v>
      </c>
      <c r="H246" s="438"/>
      <c r="I246" s="438"/>
    </row>
    <row r="247" spans="1:9" x14ac:dyDescent="0.25">
      <c r="A247" s="157"/>
      <c r="B247" s="51"/>
      <c r="C247" s="56"/>
      <c r="D247" s="438"/>
      <c r="E247" s="438"/>
      <c r="F247" s="438"/>
      <c r="G247" s="438"/>
      <c r="H247" s="438"/>
      <c r="I247" s="438"/>
    </row>
    <row r="248" spans="1:9" x14ac:dyDescent="0.25">
      <c r="A248" s="157"/>
      <c r="B248" s="51"/>
      <c r="C248" s="56"/>
      <c r="D248" s="438"/>
      <c r="E248" s="438"/>
      <c r="F248" s="438"/>
      <c r="G248" s="438"/>
      <c r="H248" s="438"/>
      <c r="I248" s="438"/>
    </row>
    <row r="249" spans="1:9" x14ac:dyDescent="0.25">
      <c r="A249" s="157"/>
      <c r="B249" s="51"/>
      <c r="C249" s="56"/>
      <c r="D249" s="438"/>
      <c r="E249" s="438"/>
      <c r="F249" s="438"/>
      <c r="G249" s="438"/>
      <c r="H249" s="438"/>
      <c r="I249" s="438"/>
    </row>
    <row r="250" spans="1:9" x14ac:dyDescent="0.25">
      <c r="A250" s="475"/>
      <c r="B250" s="440" t="s">
        <v>481</v>
      </c>
      <c r="C250" s="441"/>
      <c r="D250" s="443">
        <v>1000</v>
      </c>
      <c r="E250" s="443"/>
      <c r="F250" s="443">
        <f>SUM(F246:F249)</f>
        <v>1015</v>
      </c>
      <c r="G250" s="443"/>
      <c r="H250" s="444">
        <f>D250-F250</f>
        <v>-15</v>
      </c>
      <c r="I250" s="443"/>
    </row>
    <row r="251" spans="1:9" x14ac:dyDescent="0.25">
      <c r="A251" s="161"/>
      <c r="B251" s="457" t="s">
        <v>225</v>
      </c>
      <c r="C251" s="75">
        <f>SUM(C227:C245)</f>
        <v>29000</v>
      </c>
      <c r="D251" s="455">
        <f>SUM(D250,D244,D237,D232)</f>
        <v>14500</v>
      </c>
      <c r="E251" s="455"/>
      <c r="F251" s="455">
        <f>SUM(F250,F244,F237,F232)</f>
        <v>13425</v>
      </c>
      <c r="G251" s="455"/>
      <c r="H251" s="456">
        <f>D251-F251</f>
        <v>1075</v>
      </c>
      <c r="I251" s="455"/>
    </row>
    <row r="252" spans="1:9" x14ac:dyDescent="0.25">
      <c r="A252" s="445">
        <v>3.2</v>
      </c>
      <c r="B252" s="476" t="s">
        <v>226</v>
      </c>
      <c r="C252" s="358"/>
      <c r="D252" s="447"/>
      <c r="E252" s="447"/>
      <c r="F252" s="447"/>
      <c r="G252" s="447"/>
      <c r="H252" s="447"/>
      <c r="I252" s="447"/>
    </row>
    <row r="253" spans="1:9" ht="25.5" x14ac:dyDescent="0.25">
      <c r="A253" s="90" t="s">
        <v>227</v>
      </c>
      <c r="B253" s="51" t="s">
        <v>228</v>
      </c>
      <c r="C253" s="56">
        <v>24000</v>
      </c>
      <c r="D253" s="438"/>
      <c r="E253" s="438"/>
      <c r="F253" s="438"/>
      <c r="G253" s="438"/>
      <c r="H253" s="438"/>
      <c r="I253" s="438"/>
    </row>
    <row r="254" spans="1:9" x14ac:dyDescent="0.25">
      <c r="A254" s="90"/>
      <c r="B254" s="51"/>
      <c r="C254" s="56"/>
      <c r="D254" s="438"/>
      <c r="E254" s="438"/>
      <c r="F254" s="438"/>
      <c r="G254" s="438"/>
      <c r="H254" s="438"/>
      <c r="I254" s="438"/>
    </row>
    <row r="255" spans="1:9" x14ac:dyDescent="0.25">
      <c r="A255" s="90"/>
      <c r="B255" s="51"/>
      <c r="C255" s="56"/>
      <c r="D255" s="438"/>
      <c r="E255" s="438"/>
      <c r="F255" s="438"/>
      <c r="G255" s="438"/>
      <c r="H255" s="438"/>
      <c r="I255" s="438"/>
    </row>
    <row r="256" spans="1:9" x14ac:dyDescent="0.25">
      <c r="A256" s="90"/>
      <c r="B256" s="51"/>
      <c r="C256" s="56"/>
      <c r="D256" s="438"/>
      <c r="E256" s="438"/>
      <c r="F256" s="438"/>
      <c r="G256" s="438"/>
      <c r="H256" s="438"/>
      <c r="I256" s="438"/>
    </row>
    <row r="257" spans="1:9" x14ac:dyDescent="0.25">
      <c r="A257" s="90"/>
      <c r="B257" s="51"/>
      <c r="C257" s="56"/>
      <c r="D257" s="438"/>
      <c r="E257" s="438"/>
      <c r="F257" s="438"/>
      <c r="G257" s="438"/>
      <c r="H257" s="438"/>
      <c r="I257" s="438"/>
    </row>
    <row r="258" spans="1:9" x14ac:dyDescent="0.25">
      <c r="A258" s="449"/>
      <c r="B258" s="440" t="s">
        <v>482</v>
      </c>
      <c r="C258" s="441"/>
      <c r="D258" s="443">
        <v>6000</v>
      </c>
      <c r="E258" s="443"/>
      <c r="F258" s="443">
        <f>SUM(F254:F257)</f>
        <v>0</v>
      </c>
      <c r="G258" s="443"/>
      <c r="H258" s="444">
        <f>D258-F258</f>
        <v>6000</v>
      </c>
      <c r="I258" s="443"/>
    </row>
    <row r="259" spans="1:9" x14ac:dyDescent="0.25">
      <c r="A259" s="90" t="s">
        <v>229</v>
      </c>
      <c r="B259" s="51" t="s">
        <v>230</v>
      </c>
      <c r="C259" s="56">
        <v>4000</v>
      </c>
      <c r="D259" s="438"/>
      <c r="E259" s="438"/>
      <c r="F259" s="438"/>
      <c r="G259" s="438"/>
      <c r="H259" s="438"/>
      <c r="I259" s="438"/>
    </row>
    <row r="260" spans="1:9" x14ac:dyDescent="0.25">
      <c r="A260" s="90"/>
      <c r="B260" s="51"/>
      <c r="C260" s="56"/>
      <c r="D260" s="438"/>
      <c r="E260" s="438"/>
      <c r="F260" s="438"/>
      <c r="G260" s="438"/>
      <c r="H260" s="438"/>
      <c r="I260" s="438"/>
    </row>
    <row r="261" spans="1:9" x14ac:dyDescent="0.25">
      <c r="A261" s="90"/>
      <c r="B261" s="51"/>
      <c r="C261" s="56"/>
      <c r="D261" s="438"/>
      <c r="E261" s="438"/>
      <c r="F261" s="438"/>
      <c r="G261" s="438"/>
      <c r="H261" s="438"/>
      <c r="I261" s="438"/>
    </row>
    <row r="262" spans="1:9" x14ac:dyDescent="0.25">
      <c r="A262" s="90"/>
      <c r="B262" s="51"/>
      <c r="C262" s="56"/>
      <c r="D262" s="438"/>
      <c r="E262" s="438"/>
      <c r="F262" s="438"/>
      <c r="G262" s="438"/>
      <c r="H262" s="438"/>
      <c r="I262" s="438"/>
    </row>
    <row r="263" spans="1:9" x14ac:dyDescent="0.25">
      <c r="A263" s="449"/>
      <c r="B263" s="440" t="s">
        <v>483</v>
      </c>
      <c r="C263" s="441"/>
      <c r="D263" s="443">
        <v>2000</v>
      </c>
      <c r="E263" s="443"/>
      <c r="F263" s="443">
        <f>SUM(F260:F262)</f>
        <v>0</v>
      </c>
      <c r="G263" s="443"/>
      <c r="H263" s="444">
        <f>D263-F263</f>
        <v>2000</v>
      </c>
      <c r="I263" s="443"/>
    </row>
    <row r="264" spans="1:9" x14ac:dyDescent="0.25">
      <c r="A264" s="164"/>
      <c r="B264" s="457" t="s">
        <v>231</v>
      </c>
      <c r="C264" s="165">
        <f>SUM(C253:C259)</f>
        <v>28000</v>
      </c>
      <c r="D264" s="455">
        <f>SUM(D263,D258)</f>
        <v>8000</v>
      </c>
      <c r="E264" s="455"/>
      <c r="F264" s="455">
        <f>SUM(F263,F258)</f>
        <v>0</v>
      </c>
      <c r="G264" s="455"/>
      <c r="H264" s="456">
        <f>D264-F264</f>
        <v>8000</v>
      </c>
      <c r="I264" s="455"/>
    </row>
    <row r="265" spans="1:9" ht="25.5" x14ac:dyDescent="0.25">
      <c r="A265" s="445">
        <v>3.3</v>
      </c>
      <c r="B265" s="476" t="s">
        <v>232</v>
      </c>
      <c r="C265" s="358"/>
      <c r="D265" s="447"/>
      <c r="E265" s="447"/>
      <c r="F265" s="447"/>
      <c r="G265" s="447"/>
      <c r="H265" s="447"/>
      <c r="I265" s="447"/>
    </row>
    <row r="266" spans="1:9" x14ac:dyDescent="0.25">
      <c r="A266" s="90" t="s">
        <v>233</v>
      </c>
      <c r="B266" s="51" t="s">
        <v>234</v>
      </c>
      <c r="C266" s="56">
        <v>4000</v>
      </c>
      <c r="D266" s="438"/>
      <c r="E266" s="438"/>
      <c r="F266" s="438"/>
      <c r="G266" s="438"/>
      <c r="H266" s="438"/>
      <c r="I266" s="438"/>
    </row>
    <row r="267" spans="1:9" ht="63.75" x14ac:dyDescent="0.25">
      <c r="A267" s="90"/>
      <c r="B267" s="51" t="s">
        <v>484</v>
      </c>
      <c r="C267" s="56"/>
      <c r="D267" s="438"/>
      <c r="E267" s="438" t="s">
        <v>389</v>
      </c>
      <c r="F267" s="438">
        <v>1750</v>
      </c>
      <c r="G267" s="438" t="s">
        <v>485</v>
      </c>
      <c r="H267" s="438"/>
      <c r="I267" s="438"/>
    </row>
    <row r="268" spans="1:9" ht="63.75" x14ac:dyDescent="0.25">
      <c r="A268" s="90"/>
      <c r="B268" s="51" t="s">
        <v>486</v>
      </c>
      <c r="C268" s="56"/>
      <c r="D268" s="438"/>
      <c r="E268" s="438" t="s">
        <v>389</v>
      </c>
      <c r="F268" s="438">
        <v>210</v>
      </c>
      <c r="G268" s="438" t="s">
        <v>487</v>
      </c>
      <c r="H268" s="438"/>
      <c r="I268" s="438"/>
    </row>
    <row r="269" spans="1:9" x14ac:dyDescent="0.25">
      <c r="A269" s="449"/>
      <c r="B269" s="440" t="s">
        <v>488</v>
      </c>
      <c r="C269" s="441"/>
      <c r="D269" s="443">
        <v>2000</v>
      </c>
      <c r="E269" s="443"/>
      <c r="F269" s="443">
        <f>SUM(F267:F268)</f>
        <v>1960</v>
      </c>
      <c r="G269" s="443"/>
      <c r="H269" s="444">
        <f>D269-F269</f>
        <v>40</v>
      </c>
      <c r="I269" s="443"/>
    </row>
    <row r="270" spans="1:9" ht="27" customHeight="1" x14ac:dyDescent="0.25">
      <c r="A270" s="90" t="s">
        <v>235</v>
      </c>
      <c r="B270" s="51" t="s">
        <v>236</v>
      </c>
      <c r="C270" s="56">
        <v>9840</v>
      </c>
      <c r="D270" s="438"/>
      <c r="E270" s="438"/>
      <c r="F270" s="438"/>
      <c r="G270" s="438"/>
      <c r="H270" s="438"/>
      <c r="I270" s="438"/>
    </row>
    <row r="271" spans="1:9" ht="51" x14ac:dyDescent="0.25">
      <c r="A271" s="90"/>
      <c r="B271" s="84" t="s">
        <v>489</v>
      </c>
      <c r="C271" s="56"/>
      <c r="D271" s="438"/>
      <c r="E271" s="438" t="s">
        <v>389</v>
      </c>
      <c r="F271" s="438">
        <v>4440</v>
      </c>
      <c r="G271" s="438" t="s">
        <v>395</v>
      </c>
      <c r="H271" s="438"/>
      <c r="I271" s="438"/>
    </row>
    <row r="272" spans="1:9" x14ac:dyDescent="0.25">
      <c r="A272" s="90"/>
      <c r="B272" s="51"/>
      <c r="C272" s="56"/>
      <c r="D272" s="438"/>
      <c r="E272" s="438"/>
      <c r="F272" s="438"/>
      <c r="G272" s="438"/>
      <c r="H272" s="438"/>
      <c r="I272" s="438"/>
    </row>
    <row r="273" spans="1:9" x14ac:dyDescent="0.25">
      <c r="A273" s="449"/>
      <c r="B273" s="440" t="s">
        <v>483</v>
      </c>
      <c r="C273" s="441"/>
      <c r="D273" s="443">
        <v>4920</v>
      </c>
      <c r="E273" s="443"/>
      <c r="F273" s="443">
        <f>SUM(F271:F272)</f>
        <v>4440</v>
      </c>
      <c r="G273" s="443"/>
      <c r="H273" s="444">
        <f>D273-F273</f>
        <v>480</v>
      </c>
      <c r="I273" s="443"/>
    </row>
    <row r="274" spans="1:9" ht="25.5" x14ac:dyDescent="0.25">
      <c r="A274" s="90" t="s">
        <v>237</v>
      </c>
      <c r="B274" s="51" t="s">
        <v>238</v>
      </c>
      <c r="C274" s="56">
        <v>10000</v>
      </c>
      <c r="D274" s="438"/>
      <c r="E274" s="438"/>
      <c r="F274" s="438"/>
      <c r="G274" s="438"/>
      <c r="H274" s="438"/>
      <c r="I274" s="438"/>
    </row>
    <row r="275" spans="1:9" ht="63.75" x14ac:dyDescent="0.25">
      <c r="A275" s="90"/>
      <c r="B275" s="51" t="s">
        <v>490</v>
      </c>
      <c r="C275" s="56"/>
      <c r="D275" s="438"/>
      <c r="E275" s="438" t="s">
        <v>389</v>
      </c>
      <c r="F275" s="438">
        <v>5000</v>
      </c>
      <c r="G275" s="438" t="s">
        <v>456</v>
      </c>
      <c r="H275" s="438"/>
      <c r="I275" s="438"/>
    </row>
    <row r="276" spans="1:9" x14ac:dyDescent="0.25">
      <c r="A276" s="90"/>
      <c r="B276" s="51"/>
      <c r="C276" s="56"/>
      <c r="D276" s="438"/>
      <c r="E276" s="438"/>
      <c r="F276" s="438"/>
      <c r="G276" s="438"/>
      <c r="H276" s="438"/>
      <c r="I276" s="438"/>
    </row>
    <row r="277" spans="1:9" x14ac:dyDescent="0.25">
      <c r="A277" s="90"/>
      <c r="B277" s="51"/>
      <c r="C277" s="56"/>
      <c r="D277" s="438"/>
      <c r="E277" s="438"/>
      <c r="F277" s="438"/>
      <c r="G277" s="438"/>
      <c r="H277" s="438"/>
      <c r="I277" s="438"/>
    </row>
    <row r="278" spans="1:9" x14ac:dyDescent="0.25">
      <c r="A278" s="449"/>
      <c r="B278" s="440" t="s">
        <v>491</v>
      </c>
      <c r="C278" s="441"/>
      <c r="D278" s="443">
        <v>5000</v>
      </c>
      <c r="E278" s="443"/>
      <c r="F278" s="443">
        <f>SUM(F275:F277)</f>
        <v>5000</v>
      </c>
      <c r="G278" s="443"/>
      <c r="H278" s="444">
        <f>D278-F278</f>
        <v>0</v>
      </c>
      <c r="I278" s="443"/>
    </row>
    <row r="279" spans="1:9" x14ac:dyDescent="0.25">
      <c r="A279" s="90" t="s">
        <v>240</v>
      </c>
      <c r="B279" s="51" t="s">
        <v>241</v>
      </c>
      <c r="C279" s="56">
        <v>1000</v>
      </c>
      <c r="D279" s="438"/>
      <c r="E279" s="438"/>
      <c r="F279" s="438"/>
      <c r="G279" s="438"/>
      <c r="H279" s="438"/>
      <c r="I279" s="438"/>
    </row>
    <row r="280" spans="1:9" ht="63.75" x14ac:dyDescent="0.25">
      <c r="A280" s="90"/>
      <c r="B280" s="51" t="s">
        <v>492</v>
      </c>
      <c r="C280" s="56"/>
      <c r="D280" s="438"/>
      <c r="E280" s="438" t="s">
        <v>389</v>
      </c>
      <c r="F280" s="438">
        <v>900</v>
      </c>
      <c r="G280" s="438" t="s">
        <v>401</v>
      </c>
      <c r="H280" s="438"/>
      <c r="I280" s="438"/>
    </row>
    <row r="281" spans="1:9" x14ac:dyDescent="0.25">
      <c r="A281" s="449"/>
      <c r="B281" s="440" t="s">
        <v>493</v>
      </c>
      <c r="C281" s="441"/>
      <c r="D281" s="443">
        <v>500</v>
      </c>
      <c r="E281" s="443"/>
      <c r="F281" s="443">
        <f>SUM(F280:F280)</f>
        <v>900</v>
      </c>
      <c r="G281" s="443"/>
      <c r="H281" s="444">
        <f>D281-F281</f>
        <v>-400</v>
      </c>
      <c r="I281" s="443"/>
    </row>
    <row r="282" spans="1:9" x14ac:dyDescent="0.25">
      <c r="A282" s="94"/>
      <c r="B282" s="457" t="s">
        <v>242</v>
      </c>
      <c r="C282" s="97">
        <f>SUM(C266:C279)</f>
        <v>24840</v>
      </c>
      <c r="D282" s="455">
        <f>SUM(D281,D278,D273,D269)</f>
        <v>12420</v>
      </c>
      <c r="E282" s="455"/>
      <c r="F282" s="455">
        <f>SUM(F281,F278,F273,F269)</f>
        <v>12300</v>
      </c>
      <c r="G282" s="455"/>
      <c r="H282" s="456">
        <f>D282-F282</f>
        <v>120</v>
      </c>
      <c r="I282" s="455"/>
    </row>
    <row r="283" spans="1:9" x14ac:dyDescent="0.25">
      <c r="A283" s="359"/>
      <c r="B283" s="462" t="s">
        <v>243</v>
      </c>
      <c r="C283" s="98">
        <f>SUM(C282,C264,C251)</f>
        <v>81840</v>
      </c>
      <c r="D283" s="464">
        <f>SUM(D282,D264,D251)</f>
        <v>34920</v>
      </c>
      <c r="E283" s="464"/>
      <c r="F283" s="464">
        <f>SUM(F282,F264,F251)</f>
        <v>25725</v>
      </c>
      <c r="G283" s="464"/>
      <c r="H283" s="465">
        <f>D283-F283</f>
        <v>9195</v>
      </c>
      <c r="I283" s="464"/>
    </row>
    <row r="284" spans="1:9" x14ac:dyDescent="0.25">
      <c r="A284" s="116"/>
      <c r="B284" s="466" t="s">
        <v>244</v>
      </c>
      <c r="C284" s="119"/>
      <c r="D284" s="474"/>
      <c r="E284" s="474"/>
      <c r="F284" s="474"/>
      <c r="G284" s="474"/>
      <c r="H284" s="474"/>
      <c r="I284" s="474"/>
    </row>
    <row r="285" spans="1:9" x14ac:dyDescent="0.25">
      <c r="A285" s="445">
        <v>4.0999999999999996</v>
      </c>
      <c r="B285" s="476" t="s">
        <v>245</v>
      </c>
      <c r="C285" s="366"/>
      <c r="D285" s="447"/>
      <c r="E285" s="447"/>
      <c r="F285" s="447"/>
      <c r="G285" s="447"/>
      <c r="H285" s="447"/>
      <c r="I285" s="447"/>
    </row>
    <row r="286" spans="1:9" x14ac:dyDescent="0.25">
      <c r="A286" s="170" t="s">
        <v>246</v>
      </c>
      <c r="B286" s="51" t="s">
        <v>247</v>
      </c>
      <c r="C286" s="56">
        <v>54000</v>
      </c>
      <c r="D286" s="438"/>
      <c r="E286" s="438"/>
      <c r="F286" s="438"/>
      <c r="G286" s="438"/>
      <c r="H286" s="438"/>
      <c r="I286" s="438"/>
    </row>
    <row r="287" spans="1:9" x14ac:dyDescent="0.25">
      <c r="A287" s="170"/>
      <c r="B287" s="51"/>
      <c r="C287" s="56"/>
      <c r="D287" s="438"/>
      <c r="E287" s="438"/>
      <c r="F287" s="438"/>
      <c r="G287" s="438"/>
      <c r="H287" s="438"/>
      <c r="I287" s="438"/>
    </row>
    <row r="288" spans="1:9" x14ac:dyDescent="0.25">
      <c r="A288" s="170"/>
      <c r="B288" s="51"/>
      <c r="C288" s="56"/>
      <c r="D288" s="438"/>
      <c r="E288" s="438"/>
      <c r="F288" s="438"/>
      <c r="G288" s="438"/>
      <c r="H288" s="438"/>
      <c r="I288" s="438"/>
    </row>
    <row r="289" spans="1:9" x14ac:dyDescent="0.25">
      <c r="A289" s="170"/>
      <c r="B289" s="51"/>
      <c r="C289" s="56"/>
      <c r="D289" s="438"/>
      <c r="E289" s="438"/>
      <c r="F289" s="438"/>
      <c r="G289" s="438"/>
      <c r="H289" s="438"/>
      <c r="I289" s="438"/>
    </row>
    <row r="290" spans="1:9" x14ac:dyDescent="0.25">
      <c r="A290" s="477"/>
      <c r="B290" s="440" t="s">
        <v>494</v>
      </c>
      <c r="C290" s="441"/>
      <c r="D290" s="443">
        <v>18000</v>
      </c>
      <c r="E290" s="443"/>
      <c r="F290" s="443">
        <f>SUM(F287:F289)</f>
        <v>0</v>
      </c>
      <c r="G290" s="443"/>
      <c r="H290" s="444">
        <f>D290-F290</f>
        <v>18000</v>
      </c>
      <c r="I290" s="443"/>
    </row>
    <row r="291" spans="1:9" x14ac:dyDescent="0.25">
      <c r="A291" s="170" t="s">
        <v>249</v>
      </c>
      <c r="B291" s="51" t="s">
        <v>250</v>
      </c>
      <c r="C291" s="56">
        <v>7200</v>
      </c>
      <c r="D291" s="438"/>
      <c r="E291" s="438"/>
      <c r="F291" s="438"/>
      <c r="G291" s="438"/>
      <c r="H291" s="438"/>
      <c r="I291" s="438"/>
    </row>
    <row r="292" spans="1:9" x14ac:dyDescent="0.25">
      <c r="A292" s="170"/>
      <c r="B292" s="51"/>
      <c r="C292" s="56"/>
      <c r="D292" s="438"/>
      <c r="E292" s="438"/>
      <c r="F292" s="438"/>
      <c r="G292" s="438"/>
      <c r="H292" s="438"/>
      <c r="I292" s="438"/>
    </row>
    <row r="293" spans="1:9" x14ac:dyDescent="0.25">
      <c r="A293" s="170"/>
      <c r="B293" s="51"/>
      <c r="C293" s="56"/>
      <c r="D293" s="438"/>
      <c r="E293" s="438"/>
      <c r="F293" s="438"/>
      <c r="G293" s="438"/>
      <c r="H293" s="438"/>
      <c r="I293" s="438"/>
    </row>
    <row r="294" spans="1:9" x14ac:dyDescent="0.25">
      <c r="A294" s="170"/>
      <c r="B294" s="51"/>
      <c r="C294" s="56"/>
      <c r="D294" s="438"/>
      <c r="E294" s="438"/>
      <c r="F294" s="438"/>
      <c r="G294" s="438"/>
      <c r="H294" s="438"/>
      <c r="I294" s="438"/>
    </row>
    <row r="295" spans="1:9" x14ac:dyDescent="0.25">
      <c r="A295" s="477"/>
      <c r="B295" s="440" t="s">
        <v>495</v>
      </c>
      <c r="C295" s="441"/>
      <c r="D295" s="443">
        <v>2400</v>
      </c>
      <c r="E295" s="443"/>
      <c r="F295" s="443">
        <f>SUM(F292:F294)</f>
        <v>0</v>
      </c>
      <c r="G295" s="443"/>
      <c r="H295" s="444">
        <f>D295-F295</f>
        <v>2400</v>
      </c>
      <c r="I295" s="443"/>
    </row>
    <row r="296" spans="1:9" x14ac:dyDescent="0.25">
      <c r="A296" s="478">
        <v>4.2</v>
      </c>
      <c r="B296" s="446" t="s">
        <v>251</v>
      </c>
      <c r="C296" s="479">
        <v>0</v>
      </c>
      <c r="D296" s="480"/>
      <c r="E296" s="480"/>
      <c r="F296" s="480"/>
      <c r="G296" s="480"/>
      <c r="H296" s="480"/>
      <c r="I296" s="480"/>
    </row>
    <row r="297" spans="1:9" x14ac:dyDescent="0.25">
      <c r="A297" s="170" t="s">
        <v>252</v>
      </c>
      <c r="B297" s="51" t="s">
        <v>251</v>
      </c>
      <c r="C297" s="481">
        <v>28000</v>
      </c>
      <c r="D297" s="482"/>
      <c r="E297" s="482"/>
      <c r="F297" s="482"/>
      <c r="G297" s="482"/>
      <c r="H297" s="482"/>
      <c r="I297" s="482"/>
    </row>
    <row r="298" spans="1:9" x14ac:dyDescent="0.25">
      <c r="A298" s="170"/>
      <c r="B298" s="51"/>
      <c r="C298" s="481"/>
      <c r="D298" s="482"/>
      <c r="E298" s="482"/>
      <c r="F298" s="482"/>
      <c r="G298" s="482"/>
      <c r="H298" s="482"/>
      <c r="I298" s="482"/>
    </row>
    <row r="299" spans="1:9" x14ac:dyDescent="0.25">
      <c r="A299" s="477"/>
      <c r="B299" s="440" t="s">
        <v>496</v>
      </c>
      <c r="C299" s="483"/>
      <c r="D299" s="484">
        <v>0</v>
      </c>
      <c r="E299" s="484"/>
      <c r="F299" s="484"/>
      <c r="G299" s="484"/>
      <c r="H299" s="484"/>
      <c r="I299" s="484"/>
    </row>
    <row r="300" spans="1:9" x14ac:dyDescent="0.25">
      <c r="A300" s="170" t="s">
        <v>253</v>
      </c>
      <c r="B300" s="51" t="s">
        <v>254</v>
      </c>
      <c r="C300" s="56">
        <v>6000</v>
      </c>
      <c r="D300" s="438"/>
      <c r="E300" s="438"/>
      <c r="F300" s="438"/>
      <c r="G300" s="438"/>
      <c r="H300" s="438"/>
      <c r="I300" s="438"/>
    </row>
    <row r="301" spans="1:9" x14ac:dyDescent="0.25">
      <c r="A301" s="170"/>
      <c r="B301" s="51"/>
      <c r="C301" s="56"/>
      <c r="D301" s="438"/>
      <c r="E301" s="438"/>
      <c r="F301" s="438"/>
      <c r="G301" s="438"/>
      <c r="H301" s="438"/>
      <c r="I301" s="438"/>
    </row>
    <row r="302" spans="1:9" x14ac:dyDescent="0.25">
      <c r="A302" s="477"/>
      <c r="B302" s="440" t="s">
        <v>497</v>
      </c>
      <c r="C302" s="441"/>
      <c r="D302" s="443">
        <v>0</v>
      </c>
      <c r="E302" s="443"/>
      <c r="F302" s="443">
        <f>SUM(F300:F301)</f>
        <v>0</v>
      </c>
      <c r="G302" s="443"/>
      <c r="H302" s="444">
        <f>D302-F302</f>
        <v>0</v>
      </c>
      <c r="I302" s="443"/>
    </row>
    <row r="303" spans="1:9" x14ac:dyDescent="0.25">
      <c r="A303" s="94"/>
      <c r="B303" s="457" t="s">
        <v>498</v>
      </c>
      <c r="C303" s="97">
        <f>SUM(C286:C302)</f>
        <v>95200</v>
      </c>
      <c r="D303" s="455">
        <f>SUM(D299,D302,D295,D290)</f>
        <v>20400</v>
      </c>
      <c r="E303" s="455"/>
      <c r="F303" s="455">
        <f>SUM(F299,F302,F295,F290)</f>
        <v>0</v>
      </c>
      <c r="G303" s="455"/>
      <c r="H303" s="456">
        <f>D303-F303</f>
        <v>20400</v>
      </c>
      <c r="I303" s="455"/>
    </row>
    <row r="304" spans="1:9" x14ac:dyDescent="0.25">
      <c r="A304" s="445">
        <v>4.3</v>
      </c>
      <c r="B304" s="452" t="s">
        <v>257</v>
      </c>
      <c r="C304" s="366"/>
      <c r="D304" s="447"/>
      <c r="E304" s="447"/>
      <c r="F304" s="447"/>
      <c r="G304" s="447"/>
      <c r="H304" s="447"/>
      <c r="I304" s="447"/>
    </row>
    <row r="305" spans="1:9" x14ac:dyDescent="0.25">
      <c r="A305" s="70" t="s">
        <v>258</v>
      </c>
      <c r="B305" s="51" t="s">
        <v>259</v>
      </c>
      <c r="C305" s="56">
        <v>8640</v>
      </c>
      <c r="D305" s="438"/>
      <c r="E305" s="438"/>
      <c r="F305" s="438"/>
      <c r="G305" s="438"/>
      <c r="H305" s="438"/>
      <c r="I305" s="438"/>
    </row>
    <row r="306" spans="1:9" ht="51" x14ac:dyDescent="0.25">
      <c r="A306" s="70"/>
      <c r="B306" s="51" t="s">
        <v>499</v>
      </c>
      <c r="C306" s="56"/>
      <c r="D306" s="438"/>
      <c r="E306" s="438" t="s">
        <v>500</v>
      </c>
      <c r="F306" s="438">
        <v>720</v>
      </c>
      <c r="G306" s="438" t="s">
        <v>501</v>
      </c>
      <c r="H306" s="438"/>
      <c r="I306" s="438"/>
    </row>
    <row r="307" spans="1:9" ht="51" x14ac:dyDescent="0.25">
      <c r="A307" s="70"/>
      <c r="B307" s="51" t="s">
        <v>502</v>
      </c>
      <c r="C307" s="56"/>
      <c r="D307" s="438"/>
      <c r="E307" s="438" t="s">
        <v>500</v>
      </c>
      <c r="F307" s="438">
        <v>720</v>
      </c>
      <c r="G307" s="438" t="s">
        <v>501</v>
      </c>
      <c r="H307" s="438"/>
      <c r="I307" s="438"/>
    </row>
    <row r="308" spans="1:9" ht="51" x14ac:dyDescent="0.25">
      <c r="A308" s="70"/>
      <c r="B308" s="51" t="s">
        <v>503</v>
      </c>
      <c r="C308" s="56"/>
      <c r="D308" s="438"/>
      <c r="E308" s="438" t="s">
        <v>385</v>
      </c>
      <c r="F308" s="438">
        <v>720</v>
      </c>
      <c r="G308" s="438" t="s">
        <v>504</v>
      </c>
      <c r="H308" s="438"/>
      <c r="I308" s="438"/>
    </row>
    <row r="309" spans="1:9" x14ac:dyDescent="0.25">
      <c r="A309" s="449"/>
      <c r="B309" s="440" t="s">
        <v>505</v>
      </c>
      <c r="C309" s="441"/>
      <c r="D309" s="443">
        <v>2160</v>
      </c>
      <c r="E309" s="443"/>
      <c r="F309" s="443">
        <f>SUM(F306:F308)</f>
        <v>2160</v>
      </c>
      <c r="G309" s="443"/>
      <c r="H309" s="444">
        <f>D309-F309</f>
        <v>0</v>
      </c>
      <c r="I309" s="443"/>
    </row>
    <row r="310" spans="1:9" x14ac:dyDescent="0.25">
      <c r="A310" s="94"/>
      <c r="B310" s="457" t="s">
        <v>506</v>
      </c>
      <c r="C310" s="97">
        <f>SUM(C305:C309)</f>
        <v>8640</v>
      </c>
      <c r="D310" s="455">
        <f>D309</f>
        <v>2160</v>
      </c>
      <c r="E310" s="455"/>
      <c r="F310" s="455">
        <f>F309</f>
        <v>2160</v>
      </c>
      <c r="G310" s="455"/>
      <c r="H310" s="456">
        <f>D310-F310</f>
        <v>0</v>
      </c>
      <c r="I310" s="455">
        <f>I309</f>
        <v>0</v>
      </c>
    </row>
    <row r="311" spans="1:9" x14ac:dyDescent="0.25">
      <c r="A311" s="485" t="s">
        <v>350</v>
      </c>
      <c r="B311" s="486" t="s">
        <v>262</v>
      </c>
      <c r="C311" s="487">
        <v>44420</v>
      </c>
      <c r="D311" s="488"/>
      <c r="E311" s="488"/>
      <c r="F311" s="488"/>
      <c r="G311" s="488"/>
      <c r="H311" s="489"/>
      <c r="I311" s="488"/>
    </row>
    <row r="312" spans="1:9" x14ac:dyDescent="0.25">
      <c r="A312" s="490"/>
      <c r="B312" s="62"/>
      <c r="C312" s="56"/>
      <c r="D312" s="438"/>
      <c r="E312" s="438"/>
      <c r="F312" s="438"/>
      <c r="G312" s="438"/>
      <c r="H312" s="491"/>
      <c r="I312" s="438"/>
    </row>
    <row r="313" spans="1:9" x14ac:dyDescent="0.25">
      <c r="A313" s="490"/>
      <c r="B313" s="62"/>
      <c r="C313" s="56"/>
      <c r="D313" s="438"/>
      <c r="E313" s="438"/>
      <c r="F313" s="438"/>
      <c r="G313" s="438"/>
      <c r="H313" s="491"/>
      <c r="I313" s="438"/>
    </row>
    <row r="314" spans="1:9" x14ac:dyDescent="0.25">
      <c r="A314" s="449"/>
      <c r="B314" s="440" t="s">
        <v>507</v>
      </c>
      <c r="C314" s="441"/>
      <c r="D314" s="443"/>
      <c r="E314" s="443"/>
      <c r="F314" s="443"/>
      <c r="G314" s="443"/>
      <c r="H314" s="444"/>
      <c r="I314" s="443"/>
    </row>
    <row r="315" spans="1:9" x14ac:dyDescent="0.25">
      <c r="A315" s="94"/>
      <c r="B315" s="457" t="s">
        <v>508</v>
      </c>
      <c r="C315" s="97">
        <f>C311</f>
        <v>44420</v>
      </c>
      <c r="D315" s="455">
        <f>D314</f>
        <v>0</v>
      </c>
      <c r="E315" s="455"/>
      <c r="F315" s="455">
        <f>F309</f>
        <v>2160</v>
      </c>
      <c r="G315" s="455"/>
      <c r="H315" s="456">
        <f>D315-F315</f>
        <v>-2160</v>
      </c>
      <c r="I315" s="455"/>
    </row>
    <row r="316" spans="1:9" x14ac:dyDescent="0.25">
      <c r="A316" s="359"/>
      <c r="B316" s="462" t="s">
        <v>265</v>
      </c>
      <c r="C316" s="98">
        <f>SUM(C315,C303,C310)</f>
        <v>148260</v>
      </c>
      <c r="D316" s="464">
        <f>SUM(D315,D303,D310)</f>
        <v>22560</v>
      </c>
      <c r="E316" s="464"/>
      <c r="F316" s="464">
        <f>SUM(F315,F303)</f>
        <v>2160</v>
      </c>
      <c r="G316" s="464"/>
      <c r="H316" s="465">
        <f>D316-F316</f>
        <v>20400</v>
      </c>
      <c r="I316" s="464"/>
    </row>
    <row r="317" spans="1:9" x14ac:dyDescent="0.25">
      <c r="A317" s="388"/>
      <c r="B317" s="492" t="s">
        <v>266</v>
      </c>
      <c r="C317" s="390">
        <f>SUM(C316,C283,C224,C74)</f>
        <v>906900</v>
      </c>
      <c r="D317" s="493">
        <f>SUM(D74+D224+D283+D316)</f>
        <v>145060</v>
      </c>
      <c r="E317" s="494"/>
      <c r="F317" s="495">
        <f>SUM(F316,F283,F224,F74)</f>
        <v>105600</v>
      </c>
      <c r="G317" s="494"/>
      <c r="H317" s="496">
        <f>D317-F317</f>
        <v>39460</v>
      </c>
      <c r="I317" s="494"/>
    </row>
    <row r="318" spans="1:9" x14ac:dyDescent="0.25">
      <c r="A318" s="497">
        <v>5</v>
      </c>
      <c r="B318" s="498" t="s">
        <v>267</v>
      </c>
      <c r="C318" s="363"/>
      <c r="D318" s="447"/>
      <c r="E318" s="447"/>
      <c r="F318" s="447"/>
      <c r="G318" s="447"/>
      <c r="H318" s="447"/>
      <c r="I318" s="447"/>
    </row>
    <row r="319" spans="1:9" x14ac:dyDescent="0.25">
      <c r="A319" s="124">
        <v>5.0999999999999996</v>
      </c>
      <c r="B319" s="199" t="s">
        <v>268</v>
      </c>
      <c r="C319" s="56">
        <v>0</v>
      </c>
      <c r="D319" s="438"/>
      <c r="E319" s="438"/>
      <c r="F319" s="438"/>
      <c r="G319" s="438"/>
      <c r="H319" s="438"/>
      <c r="I319" s="438"/>
    </row>
    <row r="320" spans="1:9" x14ac:dyDescent="0.25">
      <c r="A320" s="388"/>
      <c r="B320" s="492" t="s">
        <v>270</v>
      </c>
      <c r="C320" s="390">
        <f>C319</f>
        <v>0</v>
      </c>
      <c r="D320" s="494">
        <f>D319</f>
        <v>0</v>
      </c>
      <c r="E320" s="494"/>
      <c r="F320" s="494">
        <f>F319</f>
        <v>0</v>
      </c>
      <c r="G320" s="494"/>
      <c r="H320" s="496">
        <f>D320-F320</f>
        <v>0</v>
      </c>
      <c r="I320" s="494"/>
    </row>
    <row r="321" spans="1:9" x14ac:dyDescent="0.25">
      <c r="A321" s="397">
        <v>6</v>
      </c>
      <c r="B321" s="499" t="s">
        <v>271</v>
      </c>
      <c r="C321" s="399"/>
      <c r="D321" s="447"/>
      <c r="E321" s="447"/>
      <c r="F321" s="447"/>
      <c r="G321" s="447"/>
      <c r="H321" s="447"/>
      <c r="I321" s="447"/>
    </row>
    <row r="322" spans="1:9" ht="25.5" x14ac:dyDescent="0.25">
      <c r="A322" s="209">
        <v>6.1</v>
      </c>
      <c r="B322" s="210" t="s">
        <v>272</v>
      </c>
      <c r="C322" s="56">
        <v>315000</v>
      </c>
      <c r="D322" s="438"/>
      <c r="E322" s="438"/>
      <c r="F322" s="438"/>
      <c r="G322" s="438"/>
      <c r="H322" s="438"/>
      <c r="I322" s="438"/>
    </row>
    <row r="323" spans="1:9" ht="25.5" x14ac:dyDescent="0.25">
      <c r="A323" s="209"/>
      <c r="B323" s="210" t="s">
        <v>509</v>
      </c>
      <c r="C323" s="56"/>
      <c r="D323" s="438"/>
      <c r="E323" s="438" t="s">
        <v>379</v>
      </c>
      <c r="F323" s="438">
        <v>26250</v>
      </c>
      <c r="G323" s="438" t="s">
        <v>510</v>
      </c>
      <c r="H323" s="438"/>
      <c r="I323" s="438"/>
    </row>
    <row r="324" spans="1:9" ht="30.75" customHeight="1" x14ac:dyDescent="0.25">
      <c r="A324" s="209"/>
      <c r="B324" s="210" t="s">
        <v>511</v>
      </c>
      <c r="C324" s="56"/>
      <c r="D324" s="438"/>
      <c r="E324" s="438" t="s">
        <v>389</v>
      </c>
      <c r="F324" s="438">
        <v>26250</v>
      </c>
      <c r="G324" s="438" t="s">
        <v>512</v>
      </c>
      <c r="H324" s="438"/>
      <c r="I324" s="438"/>
    </row>
    <row r="325" spans="1:9" ht="25.5" x14ac:dyDescent="0.25">
      <c r="A325" s="209"/>
      <c r="B325" s="210" t="s">
        <v>513</v>
      </c>
      <c r="C325" s="56"/>
      <c r="D325" s="438"/>
      <c r="E325" s="438" t="s">
        <v>385</v>
      </c>
      <c r="F325" s="438">
        <v>26250</v>
      </c>
      <c r="G325" s="438" t="s">
        <v>514</v>
      </c>
      <c r="H325" s="438"/>
      <c r="I325" s="438"/>
    </row>
    <row r="326" spans="1:9" x14ac:dyDescent="0.25">
      <c r="A326" s="500"/>
      <c r="B326" s="501" t="s">
        <v>515</v>
      </c>
      <c r="C326" s="441"/>
      <c r="D326" s="443">
        <v>78750</v>
      </c>
      <c r="E326" s="443"/>
      <c r="F326" s="443">
        <f>SUM(F323:F325)</f>
        <v>78750</v>
      </c>
      <c r="G326" s="443"/>
      <c r="H326" s="444">
        <f>D326-F326</f>
        <v>0</v>
      </c>
      <c r="I326" s="443"/>
    </row>
    <row r="327" spans="1:9" ht="35.25" customHeight="1" x14ac:dyDescent="0.25">
      <c r="A327" s="209">
        <v>6.2</v>
      </c>
      <c r="B327" s="210" t="s">
        <v>275</v>
      </c>
      <c r="C327" s="56">
        <v>252000</v>
      </c>
      <c r="D327" s="438"/>
      <c r="E327" s="438"/>
      <c r="F327" s="438"/>
      <c r="G327" s="438"/>
      <c r="H327" s="438"/>
      <c r="I327" s="438"/>
    </row>
    <row r="328" spans="1:9" ht="25.5" x14ac:dyDescent="0.25">
      <c r="A328" s="209"/>
      <c r="B328" s="210" t="s">
        <v>516</v>
      </c>
      <c r="C328" s="56"/>
      <c r="D328" s="438"/>
      <c r="E328" s="438" t="s">
        <v>379</v>
      </c>
      <c r="F328" s="438">
        <v>21000</v>
      </c>
      <c r="G328" s="438" t="s">
        <v>510</v>
      </c>
      <c r="H328" s="438"/>
      <c r="I328" s="438"/>
    </row>
    <row r="329" spans="1:9" ht="25.5" x14ac:dyDescent="0.25">
      <c r="A329" s="209"/>
      <c r="B329" s="210" t="s">
        <v>517</v>
      </c>
      <c r="C329" s="56"/>
      <c r="D329" s="438"/>
      <c r="E329" s="438" t="s">
        <v>389</v>
      </c>
      <c r="F329" s="438">
        <v>21000</v>
      </c>
      <c r="G329" s="438" t="s">
        <v>512</v>
      </c>
      <c r="H329" s="438"/>
      <c r="I329" s="438"/>
    </row>
    <row r="330" spans="1:9" ht="27" customHeight="1" x14ac:dyDescent="0.25">
      <c r="A330" s="209"/>
      <c r="B330" s="210" t="s">
        <v>518</v>
      </c>
      <c r="C330" s="56"/>
      <c r="D330" s="438"/>
      <c r="E330" s="438" t="s">
        <v>385</v>
      </c>
      <c r="F330" s="438">
        <v>21000</v>
      </c>
      <c r="G330" s="438" t="s">
        <v>514</v>
      </c>
      <c r="H330" s="438"/>
      <c r="I330" s="438"/>
    </row>
    <row r="331" spans="1:9" x14ac:dyDescent="0.25">
      <c r="A331" s="500"/>
      <c r="B331" s="501" t="s">
        <v>519</v>
      </c>
      <c r="C331" s="441"/>
      <c r="D331" s="443">
        <v>63000</v>
      </c>
      <c r="E331" s="443"/>
      <c r="F331" s="443">
        <f>SUM(F328:F330)</f>
        <v>63000</v>
      </c>
      <c r="G331" s="443"/>
      <c r="H331" s="444">
        <f>D331-F331</f>
        <v>0</v>
      </c>
      <c r="I331" s="443"/>
    </row>
    <row r="332" spans="1:9" ht="25.5" x14ac:dyDescent="0.25">
      <c r="A332" s="209">
        <v>6.3</v>
      </c>
      <c r="B332" s="210" t="s">
        <v>277</v>
      </c>
      <c r="C332" s="56">
        <v>604800</v>
      </c>
      <c r="D332" s="438"/>
      <c r="E332" s="438"/>
      <c r="F332" s="438"/>
      <c r="G332" s="438"/>
      <c r="H332" s="438"/>
      <c r="I332" s="438"/>
    </row>
    <row r="333" spans="1:9" ht="38.25" x14ac:dyDescent="0.25">
      <c r="A333" s="209"/>
      <c r="B333" s="210" t="s">
        <v>520</v>
      </c>
      <c r="C333" s="56"/>
      <c r="D333" s="438"/>
      <c r="E333" s="438" t="s">
        <v>379</v>
      </c>
      <c r="F333" s="438">
        <f>12600*4</f>
        <v>50400</v>
      </c>
      <c r="G333" s="438" t="s">
        <v>510</v>
      </c>
      <c r="H333" s="438"/>
      <c r="I333" s="438"/>
    </row>
    <row r="334" spans="1:9" ht="38.25" x14ac:dyDescent="0.25">
      <c r="A334" s="209"/>
      <c r="B334" s="210" t="s">
        <v>521</v>
      </c>
      <c r="C334" s="56"/>
      <c r="D334" s="438"/>
      <c r="E334" s="438" t="s">
        <v>389</v>
      </c>
      <c r="F334" s="438">
        <f>12600*4</f>
        <v>50400</v>
      </c>
      <c r="G334" s="438" t="s">
        <v>512</v>
      </c>
      <c r="H334" s="438"/>
      <c r="I334" s="438"/>
    </row>
    <row r="335" spans="1:9" ht="38.25" x14ac:dyDescent="0.25">
      <c r="A335" s="209"/>
      <c r="B335" s="210" t="s">
        <v>522</v>
      </c>
      <c r="C335" s="56"/>
      <c r="D335" s="438"/>
      <c r="E335" s="438" t="s">
        <v>385</v>
      </c>
      <c r="F335" s="438">
        <v>50400</v>
      </c>
      <c r="G335" s="438" t="s">
        <v>514</v>
      </c>
      <c r="H335" s="438"/>
      <c r="I335" s="438"/>
    </row>
    <row r="336" spans="1:9" x14ac:dyDescent="0.25">
      <c r="A336" s="209"/>
      <c r="B336" s="210"/>
      <c r="C336" s="56"/>
      <c r="D336" s="438"/>
      <c r="E336" s="438"/>
      <c r="F336" s="438"/>
      <c r="G336" s="438"/>
      <c r="H336" s="438"/>
      <c r="I336" s="438"/>
    </row>
    <row r="337" spans="1:9" x14ac:dyDescent="0.25">
      <c r="A337" s="500"/>
      <c r="B337" s="501" t="s">
        <v>523</v>
      </c>
      <c r="C337" s="441"/>
      <c r="D337" s="443">
        <v>151200</v>
      </c>
      <c r="E337" s="443"/>
      <c r="F337" s="443">
        <f>SUM(F333:F336)</f>
        <v>151200</v>
      </c>
      <c r="G337" s="443"/>
      <c r="H337" s="444">
        <f>D337-F337</f>
        <v>0</v>
      </c>
      <c r="I337" s="443"/>
    </row>
    <row r="338" spans="1:9" x14ac:dyDescent="0.25">
      <c r="A338" s="209">
        <v>6.4</v>
      </c>
      <c r="B338" s="210" t="s">
        <v>352</v>
      </c>
      <c r="C338" s="67">
        <v>126000</v>
      </c>
      <c r="D338" s="438"/>
      <c r="E338" s="438"/>
      <c r="F338" s="438"/>
      <c r="G338" s="438"/>
      <c r="H338" s="438"/>
      <c r="I338" s="438"/>
    </row>
    <row r="339" spans="1:9" ht="39" customHeight="1" x14ac:dyDescent="0.25">
      <c r="A339" s="209"/>
      <c r="B339" s="210" t="s">
        <v>524</v>
      </c>
      <c r="C339" s="67"/>
      <c r="D339" s="438"/>
      <c r="E339" s="438" t="s">
        <v>379</v>
      </c>
      <c r="F339" s="438">
        <v>10500</v>
      </c>
      <c r="G339" s="438" t="s">
        <v>510</v>
      </c>
      <c r="H339" s="438"/>
      <c r="I339" s="438"/>
    </row>
    <row r="340" spans="1:9" ht="39" customHeight="1" x14ac:dyDescent="0.25">
      <c r="A340" s="209"/>
      <c r="B340" s="210" t="s">
        <v>525</v>
      </c>
      <c r="C340" s="67"/>
      <c r="D340" s="438"/>
      <c r="E340" s="438" t="s">
        <v>389</v>
      </c>
      <c r="F340" s="438">
        <v>10500</v>
      </c>
      <c r="G340" s="438" t="s">
        <v>512</v>
      </c>
      <c r="H340" s="438"/>
      <c r="I340" s="438"/>
    </row>
    <row r="341" spans="1:9" ht="39" customHeight="1" x14ac:dyDescent="0.25">
      <c r="A341" s="209"/>
      <c r="B341" s="210" t="s">
        <v>526</v>
      </c>
      <c r="C341" s="67"/>
      <c r="D341" s="438"/>
      <c r="E341" s="438" t="s">
        <v>385</v>
      </c>
      <c r="F341" s="438">
        <v>10500</v>
      </c>
      <c r="G341" s="438" t="s">
        <v>514</v>
      </c>
      <c r="H341" s="438"/>
      <c r="I341" s="438"/>
    </row>
    <row r="342" spans="1:9" x14ac:dyDescent="0.25">
      <c r="A342" s="500"/>
      <c r="B342" s="501" t="s">
        <v>527</v>
      </c>
      <c r="C342" s="441"/>
      <c r="D342" s="443">
        <v>31500</v>
      </c>
      <c r="E342" s="443"/>
      <c r="F342" s="443">
        <f>SUM(F339:F341)</f>
        <v>31500</v>
      </c>
      <c r="G342" s="443"/>
      <c r="H342" s="444">
        <f>D342-F342</f>
        <v>0</v>
      </c>
      <c r="I342" s="443"/>
    </row>
    <row r="343" spans="1:9" ht="25.5" x14ac:dyDescent="0.25">
      <c r="A343" s="209">
        <v>6.5</v>
      </c>
      <c r="B343" s="210" t="s">
        <v>281</v>
      </c>
      <c r="C343" s="56">
        <v>96000</v>
      </c>
      <c r="D343" s="438"/>
      <c r="E343" s="438"/>
      <c r="F343" s="438"/>
      <c r="G343" s="438"/>
      <c r="H343" s="491"/>
      <c r="I343" s="438"/>
    </row>
    <row r="344" spans="1:9" ht="35.25" customHeight="1" x14ac:dyDescent="0.25">
      <c r="A344" s="209"/>
      <c r="B344" s="210" t="s">
        <v>528</v>
      </c>
      <c r="C344" s="56"/>
      <c r="D344" s="438"/>
      <c r="E344" s="438" t="s">
        <v>379</v>
      </c>
      <c r="F344" s="438">
        <v>8000</v>
      </c>
      <c r="G344" s="438" t="s">
        <v>510</v>
      </c>
      <c r="H344" s="491"/>
      <c r="I344" s="438"/>
    </row>
    <row r="345" spans="1:9" ht="25.5" x14ac:dyDescent="0.25">
      <c r="A345" s="209"/>
      <c r="B345" s="210" t="s">
        <v>529</v>
      </c>
      <c r="C345" s="56"/>
      <c r="D345" s="438"/>
      <c r="E345" s="438" t="s">
        <v>389</v>
      </c>
      <c r="F345" s="438">
        <v>8000</v>
      </c>
      <c r="G345" s="438" t="s">
        <v>512</v>
      </c>
      <c r="H345" s="491"/>
      <c r="I345" s="438"/>
    </row>
    <row r="346" spans="1:9" ht="38.25" x14ac:dyDescent="0.25">
      <c r="A346" s="209"/>
      <c r="B346" s="210" t="s">
        <v>530</v>
      </c>
      <c r="C346" s="56"/>
      <c r="D346" s="438"/>
      <c r="E346" s="438" t="s">
        <v>385</v>
      </c>
      <c r="F346" s="438">
        <v>8000</v>
      </c>
      <c r="G346" s="438" t="s">
        <v>514</v>
      </c>
      <c r="H346" s="491"/>
      <c r="I346" s="438"/>
    </row>
    <row r="347" spans="1:9" x14ac:dyDescent="0.25">
      <c r="A347" s="500"/>
      <c r="B347" s="501" t="s">
        <v>531</v>
      </c>
      <c r="C347" s="441"/>
      <c r="D347" s="443">
        <v>24000</v>
      </c>
      <c r="E347" s="443"/>
      <c r="F347" s="443">
        <f>SUM(F343:F346)</f>
        <v>24000</v>
      </c>
      <c r="G347" s="443"/>
      <c r="H347" s="444">
        <f>D347-F347</f>
        <v>0</v>
      </c>
      <c r="I347" s="443"/>
    </row>
    <row r="348" spans="1:9" x14ac:dyDescent="0.25">
      <c r="A348" s="401"/>
      <c r="B348" s="492" t="s">
        <v>283</v>
      </c>
      <c r="C348" s="390">
        <f>SUM(C322:C343)</f>
        <v>1393800</v>
      </c>
      <c r="D348" s="494">
        <f>SUM(D342,D337,D331,D326,D347)</f>
        <v>348450</v>
      </c>
      <c r="E348" s="494"/>
      <c r="F348" s="494">
        <f>SUM(F342,F337,F331,F326,F347)</f>
        <v>348450</v>
      </c>
      <c r="G348" s="494"/>
      <c r="H348" s="494">
        <f>D348-F348</f>
        <v>0</v>
      </c>
      <c r="I348" s="494"/>
    </row>
    <row r="349" spans="1:9" x14ac:dyDescent="0.25">
      <c r="A349" s="131">
        <v>7</v>
      </c>
      <c r="B349" s="502" t="s">
        <v>284</v>
      </c>
      <c r="C349" s="363"/>
      <c r="D349" s="447"/>
      <c r="E349" s="447"/>
      <c r="F349" s="447"/>
      <c r="G349" s="447"/>
      <c r="H349" s="447"/>
      <c r="I349" s="447"/>
    </row>
    <row r="350" spans="1:9" x14ac:dyDescent="0.25">
      <c r="A350" s="209">
        <v>7.1</v>
      </c>
      <c r="B350" s="199" t="s">
        <v>353</v>
      </c>
      <c r="C350" s="56">
        <v>90000</v>
      </c>
      <c r="D350" s="438"/>
      <c r="E350" s="438"/>
      <c r="F350" s="438"/>
      <c r="G350" s="438"/>
      <c r="H350" s="438"/>
      <c r="I350" s="438"/>
    </row>
    <row r="351" spans="1:9" ht="54.75" customHeight="1" x14ac:dyDescent="0.25">
      <c r="A351" s="209"/>
      <c r="B351" s="199" t="s">
        <v>532</v>
      </c>
      <c r="C351" s="56"/>
      <c r="D351" s="438"/>
      <c r="E351" s="438" t="s">
        <v>382</v>
      </c>
      <c r="F351" s="438">
        <v>13845</v>
      </c>
      <c r="G351" s="438" t="s">
        <v>533</v>
      </c>
      <c r="H351" s="438"/>
      <c r="I351" s="438"/>
    </row>
    <row r="352" spans="1:9" x14ac:dyDescent="0.25">
      <c r="A352" s="209"/>
      <c r="B352" s="199"/>
      <c r="C352" s="56"/>
      <c r="D352" s="438"/>
      <c r="E352" s="438"/>
      <c r="F352" s="438"/>
      <c r="G352" s="438"/>
      <c r="H352" s="438"/>
      <c r="I352" s="438"/>
    </row>
    <row r="353" spans="1:9" x14ac:dyDescent="0.25">
      <c r="A353" s="500"/>
      <c r="B353" s="503" t="s">
        <v>534</v>
      </c>
      <c r="C353" s="441"/>
      <c r="D353" s="443">
        <v>15000</v>
      </c>
      <c r="E353" s="443"/>
      <c r="F353" s="443">
        <f>SUM(F351:F352)</f>
        <v>13845</v>
      </c>
      <c r="G353" s="443"/>
      <c r="H353" s="444">
        <f>D353-F353</f>
        <v>1155</v>
      </c>
      <c r="I353" s="443"/>
    </row>
    <row r="354" spans="1:9" ht="45" customHeight="1" x14ac:dyDescent="0.25">
      <c r="A354" s="209">
        <v>7.2</v>
      </c>
      <c r="B354" s="84" t="s">
        <v>286</v>
      </c>
      <c r="C354" s="56">
        <v>30000</v>
      </c>
      <c r="D354" s="438"/>
      <c r="E354" s="438"/>
      <c r="F354" s="438"/>
      <c r="G354" s="438"/>
      <c r="H354" s="438"/>
      <c r="I354" s="438"/>
    </row>
    <row r="355" spans="1:9" ht="42" customHeight="1" x14ac:dyDescent="0.25">
      <c r="A355" s="209"/>
      <c r="B355" s="84" t="s">
        <v>535</v>
      </c>
      <c r="C355" s="56"/>
      <c r="D355" s="438"/>
      <c r="E355" s="438" t="s">
        <v>379</v>
      </c>
      <c r="F355" s="438">
        <v>2922</v>
      </c>
      <c r="G355" s="438" t="s">
        <v>536</v>
      </c>
      <c r="H355" s="438"/>
      <c r="I355" s="438"/>
    </row>
    <row r="356" spans="1:9" ht="38.25" x14ac:dyDescent="0.25">
      <c r="A356" s="209"/>
      <c r="B356" s="84" t="s">
        <v>537</v>
      </c>
      <c r="C356" s="56"/>
      <c r="D356" s="438"/>
      <c r="E356" s="438" t="s">
        <v>538</v>
      </c>
      <c r="F356" s="438">
        <v>2670</v>
      </c>
      <c r="G356" s="438" t="s">
        <v>539</v>
      </c>
      <c r="H356" s="438"/>
      <c r="I356" s="438"/>
    </row>
    <row r="357" spans="1:9" ht="38.25" x14ac:dyDescent="0.25">
      <c r="A357" s="209"/>
      <c r="B357" s="84" t="s">
        <v>540</v>
      </c>
      <c r="C357" s="56"/>
      <c r="D357" s="438"/>
      <c r="E357" s="438" t="s">
        <v>385</v>
      </c>
      <c r="F357" s="438">
        <v>3324</v>
      </c>
      <c r="G357" s="438" t="s">
        <v>541</v>
      </c>
      <c r="H357" s="438"/>
      <c r="I357" s="438"/>
    </row>
    <row r="358" spans="1:9" x14ac:dyDescent="0.25">
      <c r="A358" s="500"/>
      <c r="B358" s="453" t="s">
        <v>542</v>
      </c>
      <c r="C358" s="441"/>
      <c r="D358" s="443">
        <v>7500</v>
      </c>
      <c r="E358" s="443"/>
      <c r="F358" s="443">
        <f>SUM(F355:F357)</f>
        <v>8916</v>
      </c>
      <c r="G358" s="443"/>
      <c r="H358" s="444">
        <f>D358-F358</f>
        <v>-1416</v>
      </c>
      <c r="I358" s="443"/>
    </row>
    <row r="359" spans="1:9" ht="38.25" x14ac:dyDescent="0.25">
      <c r="A359" s="209">
        <v>7.3</v>
      </c>
      <c r="B359" s="84" t="s">
        <v>288</v>
      </c>
      <c r="C359" s="56">
        <v>30000</v>
      </c>
      <c r="D359" s="438"/>
      <c r="E359" s="438"/>
      <c r="F359" s="438"/>
      <c r="G359" s="438"/>
      <c r="H359" s="438"/>
      <c r="I359" s="438"/>
    </row>
    <row r="360" spans="1:9" ht="38.25" x14ac:dyDescent="0.25">
      <c r="A360" s="209"/>
      <c r="B360" s="84" t="s">
        <v>543</v>
      </c>
      <c r="C360" s="56"/>
      <c r="D360" s="438"/>
      <c r="E360" s="438" t="s">
        <v>379</v>
      </c>
      <c r="F360" s="438">
        <v>2435</v>
      </c>
      <c r="G360" s="438" t="s">
        <v>536</v>
      </c>
      <c r="H360" s="438"/>
      <c r="I360" s="438"/>
    </row>
    <row r="361" spans="1:9" ht="38.25" x14ac:dyDescent="0.25">
      <c r="A361" s="209"/>
      <c r="B361" s="84" t="s">
        <v>544</v>
      </c>
      <c r="C361" s="56"/>
      <c r="D361" s="438"/>
      <c r="E361" s="438" t="s">
        <v>538</v>
      </c>
      <c r="F361" s="438">
        <v>2410</v>
      </c>
      <c r="G361" s="438" t="s">
        <v>539</v>
      </c>
      <c r="H361" s="438"/>
      <c r="I361" s="438"/>
    </row>
    <row r="362" spans="1:9" ht="38.25" x14ac:dyDescent="0.25">
      <c r="A362" s="209"/>
      <c r="B362" s="84" t="s">
        <v>545</v>
      </c>
      <c r="C362" s="56"/>
      <c r="D362" s="438"/>
      <c r="E362" s="438" t="s">
        <v>385</v>
      </c>
      <c r="F362" s="438">
        <v>2945</v>
      </c>
      <c r="G362" s="438" t="s">
        <v>541</v>
      </c>
      <c r="H362" s="438"/>
      <c r="I362" s="438"/>
    </row>
    <row r="363" spans="1:9" x14ac:dyDescent="0.25">
      <c r="A363" s="500"/>
      <c r="B363" s="453" t="s">
        <v>546</v>
      </c>
      <c r="C363" s="441"/>
      <c r="D363" s="443">
        <v>7500</v>
      </c>
      <c r="E363" s="443"/>
      <c r="F363" s="443">
        <f>SUM(F360:F362)</f>
        <v>7790</v>
      </c>
      <c r="G363" s="443"/>
      <c r="H363" s="444">
        <f>D363-F363</f>
        <v>-290</v>
      </c>
      <c r="I363" s="443"/>
    </row>
    <row r="364" spans="1:9" ht="27.75" customHeight="1" x14ac:dyDescent="0.25">
      <c r="A364" s="209">
        <v>7.4</v>
      </c>
      <c r="B364" s="51" t="s">
        <v>289</v>
      </c>
      <c r="C364" s="56">
        <v>76800</v>
      </c>
      <c r="D364" s="438"/>
      <c r="E364" s="438"/>
      <c r="F364" s="438"/>
      <c r="G364" s="438"/>
      <c r="H364" s="438"/>
      <c r="I364" s="438"/>
    </row>
    <row r="365" spans="1:9" ht="38.25" x14ac:dyDescent="0.25">
      <c r="A365" s="209"/>
      <c r="B365" s="84" t="s">
        <v>547</v>
      </c>
      <c r="C365" s="56"/>
      <c r="D365" s="438"/>
      <c r="E365" s="438" t="s">
        <v>379</v>
      </c>
      <c r="F365" s="438">
        <v>1488</v>
      </c>
      <c r="G365" s="438" t="s">
        <v>536</v>
      </c>
      <c r="H365" s="438"/>
      <c r="I365" s="438"/>
    </row>
    <row r="366" spans="1:9" ht="38.25" x14ac:dyDescent="0.25">
      <c r="A366" s="209"/>
      <c r="B366" s="84" t="s">
        <v>548</v>
      </c>
      <c r="C366" s="56"/>
      <c r="D366" s="438"/>
      <c r="E366" s="438" t="s">
        <v>379</v>
      </c>
      <c r="F366" s="438">
        <v>1488</v>
      </c>
      <c r="G366" s="438" t="s">
        <v>536</v>
      </c>
      <c r="H366" s="438"/>
      <c r="I366" s="438"/>
    </row>
    <row r="367" spans="1:9" ht="38.25" x14ac:dyDescent="0.25">
      <c r="A367" s="209"/>
      <c r="B367" s="84" t="s">
        <v>549</v>
      </c>
      <c r="C367" s="56"/>
      <c r="D367" s="438"/>
      <c r="E367" s="438" t="s">
        <v>379</v>
      </c>
      <c r="F367" s="438">
        <v>1254</v>
      </c>
      <c r="G367" s="438" t="s">
        <v>536</v>
      </c>
      <c r="H367" s="438"/>
      <c r="I367" s="438"/>
    </row>
    <row r="368" spans="1:9" ht="38.25" x14ac:dyDescent="0.25">
      <c r="A368" s="209"/>
      <c r="B368" s="84" t="s">
        <v>550</v>
      </c>
      <c r="C368" s="56"/>
      <c r="D368" s="438"/>
      <c r="E368" s="438" t="s">
        <v>379</v>
      </c>
      <c r="F368" s="438">
        <v>1458</v>
      </c>
      <c r="G368" s="438" t="s">
        <v>536</v>
      </c>
      <c r="H368" s="438"/>
      <c r="I368" s="438"/>
    </row>
    <row r="369" spans="1:9" ht="38.25" x14ac:dyDescent="0.25">
      <c r="A369" s="209"/>
      <c r="B369" s="84" t="s">
        <v>551</v>
      </c>
      <c r="C369" s="56"/>
      <c r="D369" s="438"/>
      <c r="E369" s="438" t="s">
        <v>538</v>
      </c>
      <c r="F369" s="438">
        <v>1596</v>
      </c>
      <c r="G369" s="438" t="s">
        <v>539</v>
      </c>
      <c r="H369" s="438"/>
      <c r="I369" s="438"/>
    </row>
    <row r="370" spans="1:9" ht="38.25" x14ac:dyDescent="0.25">
      <c r="A370" s="209"/>
      <c r="B370" s="84" t="s">
        <v>552</v>
      </c>
      <c r="C370" s="56"/>
      <c r="D370" s="438"/>
      <c r="E370" s="438" t="s">
        <v>538</v>
      </c>
      <c r="F370" s="438">
        <v>1554</v>
      </c>
      <c r="G370" s="438" t="s">
        <v>539</v>
      </c>
      <c r="H370" s="438"/>
      <c r="I370" s="438"/>
    </row>
    <row r="371" spans="1:9" ht="38.25" x14ac:dyDescent="0.25">
      <c r="A371" s="209"/>
      <c r="B371" s="84" t="s">
        <v>553</v>
      </c>
      <c r="C371" s="56"/>
      <c r="D371" s="438"/>
      <c r="E371" s="438" t="s">
        <v>538</v>
      </c>
      <c r="F371" s="438">
        <v>1455</v>
      </c>
      <c r="G371" s="438" t="s">
        <v>539</v>
      </c>
      <c r="H371" s="438"/>
      <c r="I371" s="438"/>
    </row>
    <row r="372" spans="1:9" ht="38.25" x14ac:dyDescent="0.25">
      <c r="A372" s="209"/>
      <c r="B372" s="84" t="s">
        <v>554</v>
      </c>
      <c r="C372" s="56"/>
      <c r="D372" s="438"/>
      <c r="E372" s="438" t="s">
        <v>538</v>
      </c>
      <c r="F372" s="438">
        <v>1566</v>
      </c>
      <c r="G372" s="438" t="s">
        <v>539</v>
      </c>
      <c r="H372" s="438"/>
      <c r="I372" s="438"/>
    </row>
    <row r="373" spans="1:9" ht="38.25" x14ac:dyDescent="0.25">
      <c r="A373" s="209"/>
      <c r="B373" s="84" t="s">
        <v>555</v>
      </c>
      <c r="C373" s="56"/>
      <c r="D373" s="438"/>
      <c r="E373" s="438" t="s">
        <v>385</v>
      </c>
      <c r="F373" s="438">
        <v>1626</v>
      </c>
      <c r="G373" s="438" t="s">
        <v>541</v>
      </c>
      <c r="H373" s="438"/>
      <c r="I373" s="438"/>
    </row>
    <row r="374" spans="1:9" ht="38.25" x14ac:dyDescent="0.25">
      <c r="A374" s="209"/>
      <c r="B374" s="84" t="s">
        <v>556</v>
      </c>
      <c r="C374" s="56"/>
      <c r="D374" s="438"/>
      <c r="E374" s="438" t="s">
        <v>385</v>
      </c>
      <c r="F374" s="438">
        <v>1584</v>
      </c>
      <c r="G374" s="438" t="s">
        <v>541</v>
      </c>
      <c r="H374" s="438"/>
      <c r="I374" s="438"/>
    </row>
    <row r="375" spans="1:9" ht="38.25" x14ac:dyDescent="0.25">
      <c r="A375" s="209"/>
      <c r="B375" s="84" t="s">
        <v>557</v>
      </c>
      <c r="C375" s="56"/>
      <c r="D375" s="438"/>
      <c r="E375" s="438" t="s">
        <v>385</v>
      </c>
      <c r="F375" s="438">
        <v>1473</v>
      </c>
      <c r="G375" s="438" t="s">
        <v>541</v>
      </c>
      <c r="H375" s="438"/>
      <c r="I375" s="438"/>
    </row>
    <row r="376" spans="1:9" ht="38.25" x14ac:dyDescent="0.25">
      <c r="A376" s="209"/>
      <c r="B376" s="84" t="s">
        <v>558</v>
      </c>
      <c r="C376" s="56"/>
      <c r="D376" s="438"/>
      <c r="E376" s="438" t="s">
        <v>385</v>
      </c>
      <c r="F376" s="438">
        <v>1584</v>
      </c>
      <c r="G376" s="438" t="s">
        <v>541</v>
      </c>
      <c r="H376" s="438"/>
      <c r="I376" s="438"/>
    </row>
    <row r="377" spans="1:9" x14ac:dyDescent="0.25">
      <c r="A377" s="500"/>
      <c r="B377" s="440" t="s">
        <v>559</v>
      </c>
      <c r="C377" s="441"/>
      <c r="D377" s="443">
        <v>19200</v>
      </c>
      <c r="E377" s="443"/>
      <c r="F377" s="443">
        <f>SUM(F364:F376)</f>
        <v>18126</v>
      </c>
      <c r="G377" s="443"/>
      <c r="H377" s="444">
        <f>D377-F377</f>
        <v>1074</v>
      </c>
      <c r="I377" s="443"/>
    </row>
    <row r="378" spans="1:9" x14ac:dyDescent="0.25">
      <c r="A378" s="401"/>
      <c r="B378" s="504" t="s">
        <v>291</v>
      </c>
      <c r="C378" s="390">
        <f>SUM(C350:C364)</f>
        <v>226800</v>
      </c>
      <c r="D378" s="494">
        <f>SUM(D377,D363,D358,D353)</f>
        <v>49200</v>
      </c>
      <c r="E378" s="494"/>
      <c r="F378" s="494">
        <f>SUM(F377,F363,F358,F353)</f>
        <v>48677</v>
      </c>
      <c r="G378" s="494"/>
      <c r="H378" s="494">
        <f>SUM(H377,H363,H358,H353)</f>
        <v>523</v>
      </c>
      <c r="I378" s="494"/>
    </row>
    <row r="379" spans="1:9" x14ac:dyDescent="0.25">
      <c r="A379" s="397">
        <v>8</v>
      </c>
      <c r="B379" s="499" t="s">
        <v>292</v>
      </c>
      <c r="C379" s="399"/>
      <c r="D379" s="447"/>
      <c r="E379" s="447"/>
      <c r="F379" s="447"/>
      <c r="G379" s="447"/>
      <c r="H379" s="447"/>
      <c r="I379" s="447"/>
    </row>
    <row r="380" spans="1:9" ht="25.5" x14ac:dyDescent="0.25">
      <c r="A380" s="209">
        <v>8.1</v>
      </c>
      <c r="B380" s="51" t="s">
        <v>293</v>
      </c>
      <c r="C380" s="56">
        <v>102000</v>
      </c>
      <c r="D380" s="438"/>
      <c r="E380" s="438"/>
      <c r="F380" s="438"/>
      <c r="G380" s="438"/>
      <c r="H380" s="438"/>
      <c r="I380" s="438"/>
    </row>
    <row r="381" spans="1:9" ht="39" customHeight="1" x14ac:dyDescent="0.25">
      <c r="A381" s="209"/>
      <c r="B381" s="51" t="s">
        <v>560</v>
      </c>
      <c r="C381" s="56"/>
      <c r="D381" s="438"/>
      <c r="E381" s="438" t="s">
        <v>379</v>
      </c>
      <c r="F381" s="438">
        <v>8500</v>
      </c>
      <c r="G381" s="438" t="s">
        <v>561</v>
      </c>
      <c r="H381" s="438"/>
      <c r="I381" s="438">
        <v>1500</v>
      </c>
    </row>
    <row r="382" spans="1:9" ht="38.25" x14ac:dyDescent="0.25">
      <c r="A382" s="209"/>
      <c r="B382" s="51" t="s">
        <v>562</v>
      </c>
      <c r="C382" s="56"/>
      <c r="D382" s="438"/>
      <c r="E382" s="438" t="s">
        <v>389</v>
      </c>
      <c r="F382" s="438">
        <v>8500</v>
      </c>
      <c r="G382" s="438" t="s">
        <v>563</v>
      </c>
      <c r="H382" s="438"/>
      <c r="I382" s="438">
        <v>1500</v>
      </c>
    </row>
    <row r="383" spans="1:9" ht="38.25" x14ac:dyDescent="0.25">
      <c r="A383" s="209"/>
      <c r="B383" s="51" t="s">
        <v>564</v>
      </c>
      <c r="C383" s="56"/>
      <c r="D383" s="438"/>
      <c r="E383" s="438" t="s">
        <v>385</v>
      </c>
      <c r="F383" s="438">
        <v>8500</v>
      </c>
      <c r="G383" s="438" t="s">
        <v>565</v>
      </c>
      <c r="H383" s="438"/>
      <c r="I383" s="438">
        <v>1500</v>
      </c>
    </row>
    <row r="384" spans="1:9" x14ac:dyDescent="0.25">
      <c r="A384" s="500"/>
      <c r="B384" s="440" t="s">
        <v>566</v>
      </c>
      <c r="C384" s="441"/>
      <c r="D384" s="443">
        <v>25500</v>
      </c>
      <c r="E384" s="443"/>
      <c r="F384" s="443">
        <f>SUM(F381:F383)</f>
        <v>25500</v>
      </c>
      <c r="G384" s="443"/>
      <c r="H384" s="444">
        <f>D384-F384</f>
        <v>0</v>
      </c>
      <c r="I384" s="443">
        <f>SUM(I381:I383)</f>
        <v>4500</v>
      </c>
    </row>
    <row r="385" spans="1:9" ht="25.5" x14ac:dyDescent="0.25">
      <c r="A385" s="209">
        <v>8.1999999999999993</v>
      </c>
      <c r="B385" s="51" t="s">
        <v>296</v>
      </c>
      <c r="C385" s="56">
        <v>24000</v>
      </c>
      <c r="D385" s="438"/>
      <c r="E385" s="438"/>
      <c r="F385" s="438"/>
      <c r="G385" s="438"/>
      <c r="H385" s="438"/>
      <c r="I385" s="438"/>
    </row>
    <row r="386" spans="1:9" ht="25.5" x14ac:dyDescent="0.25">
      <c r="A386" s="209"/>
      <c r="B386" s="51" t="s">
        <v>567</v>
      </c>
      <c r="C386" s="56"/>
      <c r="D386" s="438"/>
      <c r="E386" s="438" t="s">
        <v>360</v>
      </c>
      <c r="F386" s="438">
        <v>1180</v>
      </c>
      <c r="G386" s="438" t="s">
        <v>568</v>
      </c>
      <c r="H386" s="438"/>
      <c r="I386" s="438"/>
    </row>
    <row r="387" spans="1:9" ht="25.5" x14ac:dyDescent="0.25">
      <c r="A387" s="209"/>
      <c r="B387" s="51" t="s">
        <v>567</v>
      </c>
      <c r="C387" s="56"/>
      <c r="D387" s="438"/>
      <c r="E387" s="438" t="s">
        <v>360</v>
      </c>
      <c r="F387" s="438">
        <v>609.66</v>
      </c>
      <c r="G387" s="438" t="s">
        <v>569</v>
      </c>
      <c r="H387" s="438"/>
      <c r="I387" s="438"/>
    </row>
    <row r="388" spans="1:9" ht="25.5" x14ac:dyDescent="0.25">
      <c r="A388" s="209"/>
      <c r="B388" s="51" t="s">
        <v>567</v>
      </c>
      <c r="C388" s="56"/>
      <c r="D388" s="438"/>
      <c r="E388" s="438" t="s">
        <v>570</v>
      </c>
      <c r="F388" s="438">
        <v>4.72</v>
      </c>
      <c r="G388" s="438" t="s">
        <v>571</v>
      </c>
      <c r="H388" s="438"/>
      <c r="I388" s="438"/>
    </row>
    <row r="389" spans="1:9" ht="38.25" x14ac:dyDescent="0.25">
      <c r="A389" s="209"/>
      <c r="B389" s="51" t="s">
        <v>572</v>
      </c>
      <c r="C389" s="56"/>
      <c r="D389" s="438"/>
      <c r="E389" s="438" t="s">
        <v>404</v>
      </c>
      <c r="F389" s="438">
        <v>1134</v>
      </c>
      <c r="G389" s="438" t="s">
        <v>573</v>
      </c>
      <c r="H389" s="438"/>
      <c r="I389" s="438"/>
    </row>
    <row r="390" spans="1:9" ht="17.25" customHeight="1" x14ac:dyDescent="0.25">
      <c r="A390" s="209"/>
      <c r="B390" s="51" t="s">
        <v>574</v>
      </c>
      <c r="C390" s="56"/>
      <c r="D390" s="438"/>
      <c r="E390" s="505" t="s">
        <v>575</v>
      </c>
      <c r="F390" s="506">
        <v>295</v>
      </c>
      <c r="G390" s="438" t="s">
        <v>576</v>
      </c>
      <c r="H390" s="438"/>
      <c r="I390" s="438"/>
    </row>
    <row r="391" spans="1:9" ht="38.25" x14ac:dyDescent="0.25">
      <c r="A391" s="209"/>
      <c r="B391" s="51" t="s">
        <v>577</v>
      </c>
      <c r="C391" s="56"/>
      <c r="D391" s="438"/>
      <c r="E391" s="505" t="s">
        <v>578</v>
      </c>
      <c r="F391" s="506">
        <v>400</v>
      </c>
      <c r="G391" s="438" t="s">
        <v>579</v>
      </c>
      <c r="H391" s="438"/>
      <c r="I391" s="438"/>
    </row>
    <row r="392" spans="1:9" ht="38.25" x14ac:dyDescent="0.25">
      <c r="A392" s="209"/>
      <c r="B392" s="51" t="s">
        <v>580</v>
      </c>
      <c r="C392" s="56"/>
      <c r="D392" s="438"/>
      <c r="E392" s="505" t="s">
        <v>578</v>
      </c>
      <c r="F392" s="506">
        <v>300</v>
      </c>
      <c r="G392" s="438" t="s">
        <v>581</v>
      </c>
      <c r="H392" s="438"/>
      <c r="I392" s="438"/>
    </row>
    <row r="393" spans="1:9" ht="38.25" x14ac:dyDescent="0.25">
      <c r="A393" s="209"/>
      <c r="B393" s="51" t="s">
        <v>582</v>
      </c>
      <c r="C393" s="56"/>
      <c r="D393" s="438"/>
      <c r="E393" s="505" t="s">
        <v>578</v>
      </c>
      <c r="F393" s="506">
        <v>1024</v>
      </c>
      <c r="G393" s="438" t="s">
        <v>583</v>
      </c>
      <c r="H393" s="438"/>
      <c r="I393" s="438"/>
    </row>
    <row r="394" spans="1:9" ht="38.25" x14ac:dyDescent="0.25">
      <c r="A394" s="209"/>
      <c r="B394" s="51" t="s">
        <v>584</v>
      </c>
      <c r="C394" s="56"/>
      <c r="D394" s="438"/>
      <c r="E394" s="505" t="s">
        <v>385</v>
      </c>
      <c r="F394" s="506">
        <v>1950</v>
      </c>
      <c r="G394" s="438" t="s">
        <v>585</v>
      </c>
      <c r="H394" s="438"/>
      <c r="I394" s="438"/>
    </row>
    <row r="395" spans="1:9" x14ac:dyDescent="0.25">
      <c r="A395" s="209"/>
      <c r="B395" s="51"/>
      <c r="C395" s="56"/>
      <c r="D395" s="438"/>
      <c r="E395" s="505"/>
      <c r="F395" s="506"/>
      <c r="G395" s="438"/>
      <c r="H395" s="438"/>
      <c r="I395" s="438"/>
    </row>
    <row r="396" spans="1:9" x14ac:dyDescent="0.25">
      <c r="A396" s="500"/>
      <c r="B396" s="440" t="s">
        <v>586</v>
      </c>
      <c r="C396" s="441"/>
      <c r="D396" s="443">
        <v>6000</v>
      </c>
      <c r="E396" s="443"/>
      <c r="F396" s="443">
        <f>SUM(F385:F394)</f>
        <v>6897.38</v>
      </c>
      <c r="G396" s="443"/>
      <c r="H396" s="444">
        <f>D396-F396</f>
        <v>-897.38000000000011</v>
      </c>
      <c r="I396" s="443"/>
    </row>
    <row r="397" spans="1:9" x14ac:dyDescent="0.25">
      <c r="A397" s="209">
        <v>8.3000000000000007</v>
      </c>
      <c r="B397" s="51" t="s">
        <v>298</v>
      </c>
      <c r="C397" s="56">
        <v>1500</v>
      </c>
      <c r="D397" s="438"/>
      <c r="E397" s="438"/>
      <c r="F397" s="438"/>
      <c r="G397" s="438"/>
      <c r="H397" s="438"/>
      <c r="I397" s="438"/>
    </row>
    <row r="398" spans="1:9" ht="44.25" customHeight="1" x14ac:dyDescent="0.25">
      <c r="A398" s="209"/>
      <c r="B398" s="51" t="s">
        <v>587</v>
      </c>
      <c r="C398" s="56"/>
      <c r="D398" s="438"/>
      <c r="E398" s="438" t="s">
        <v>385</v>
      </c>
      <c r="F398" s="438">
        <v>850</v>
      </c>
      <c r="G398" s="438" t="s">
        <v>588</v>
      </c>
      <c r="H398" s="438"/>
      <c r="I398" s="438"/>
    </row>
    <row r="399" spans="1:9" x14ac:dyDescent="0.25">
      <c r="A399" s="500"/>
      <c r="B399" s="440" t="s">
        <v>589</v>
      </c>
      <c r="C399" s="441"/>
      <c r="D399" s="443">
        <v>1500</v>
      </c>
      <c r="E399" s="443"/>
      <c r="F399" s="443">
        <f>F398</f>
        <v>850</v>
      </c>
      <c r="G399" s="443"/>
      <c r="H399" s="444">
        <f>D399-F399</f>
        <v>650</v>
      </c>
      <c r="I399" s="443"/>
    </row>
    <row r="400" spans="1:9" x14ac:dyDescent="0.25">
      <c r="A400" s="209">
        <v>8.4</v>
      </c>
      <c r="B400" s="51" t="s">
        <v>300</v>
      </c>
      <c r="C400" s="56">
        <v>12000</v>
      </c>
      <c r="D400" s="438"/>
      <c r="E400" s="438"/>
      <c r="F400" s="438"/>
      <c r="G400" s="438"/>
      <c r="H400" s="438"/>
      <c r="I400" s="438"/>
    </row>
    <row r="401" spans="1:9" x14ac:dyDescent="0.25">
      <c r="A401" s="209"/>
      <c r="B401" s="51"/>
      <c r="C401" s="56"/>
      <c r="D401" s="438"/>
      <c r="E401" s="438"/>
      <c r="F401" s="438"/>
      <c r="G401" s="438"/>
      <c r="H401" s="438"/>
      <c r="I401" s="438"/>
    </row>
    <row r="402" spans="1:9" x14ac:dyDescent="0.25">
      <c r="A402" s="500"/>
      <c r="B402" s="440" t="s">
        <v>590</v>
      </c>
      <c r="C402" s="441"/>
      <c r="D402" s="443">
        <v>0</v>
      </c>
      <c r="E402" s="443"/>
      <c r="F402" s="443">
        <f>F401</f>
        <v>0</v>
      </c>
      <c r="G402" s="443"/>
      <c r="H402" s="444">
        <f>D402-F402</f>
        <v>0</v>
      </c>
      <c r="I402" s="443"/>
    </row>
    <row r="403" spans="1:9" x14ac:dyDescent="0.25">
      <c r="A403" s="209">
        <v>8.5</v>
      </c>
      <c r="B403" s="51" t="s">
        <v>302</v>
      </c>
      <c r="C403" s="56">
        <v>8000</v>
      </c>
      <c r="D403" s="438"/>
      <c r="E403" s="438"/>
      <c r="F403" s="438"/>
      <c r="G403" s="438"/>
      <c r="H403" s="438"/>
      <c r="I403" s="438"/>
    </row>
    <row r="404" spans="1:9" x14ac:dyDescent="0.25">
      <c r="A404" s="209"/>
      <c r="B404" s="51"/>
      <c r="C404" s="56"/>
      <c r="D404" s="438"/>
      <c r="E404" s="438"/>
      <c r="F404" s="438"/>
      <c r="G404" s="438"/>
      <c r="H404" s="438"/>
      <c r="I404" s="438"/>
    </row>
    <row r="405" spans="1:9" x14ac:dyDescent="0.25">
      <c r="A405" s="209"/>
      <c r="B405" s="51"/>
      <c r="C405" s="56"/>
      <c r="D405" s="438"/>
      <c r="E405" s="438"/>
      <c r="F405" s="438"/>
      <c r="G405" s="438"/>
      <c r="H405" s="438"/>
      <c r="I405" s="438"/>
    </row>
    <row r="406" spans="1:9" x14ac:dyDescent="0.25">
      <c r="A406" s="500"/>
      <c r="B406" s="440" t="s">
        <v>591</v>
      </c>
      <c r="C406" s="441"/>
      <c r="D406" s="443">
        <v>4000</v>
      </c>
      <c r="E406" s="443"/>
      <c r="F406" s="443">
        <f>SUM(F404:F405)</f>
        <v>0</v>
      </c>
      <c r="G406" s="443"/>
      <c r="H406" s="444">
        <f>D406-F406</f>
        <v>4000</v>
      </c>
      <c r="I406" s="443"/>
    </row>
    <row r="407" spans="1:9" x14ac:dyDescent="0.25">
      <c r="A407" s="507"/>
      <c r="B407" s="492" t="s">
        <v>307</v>
      </c>
      <c r="C407" s="390">
        <f>SUM(C380:C406)</f>
        <v>147500</v>
      </c>
      <c r="D407" s="494">
        <f>SUM(,D406,D402,D399,D396,D384)</f>
        <v>37000</v>
      </c>
      <c r="E407" s="494"/>
      <c r="F407" s="494">
        <f>SUM(,F406,F402,F399,F396,F384)</f>
        <v>33247.379999999997</v>
      </c>
      <c r="G407" s="494"/>
      <c r="H407" s="494">
        <f>SUM(,H406,H402,H399,H396,H384)</f>
        <v>3752.62</v>
      </c>
      <c r="I407" s="494">
        <f>SUM(,I406,I402,I399,I396,I384)</f>
        <v>4500</v>
      </c>
    </row>
    <row r="408" spans="1:9" x14ac:dyDescent="0.25">
      <c r="A408" s="407"/>
      <c r="B408" s="508" t="s">
        <v>308</v>
      </c>
      <c r="C408" s="245">
        <f>SUM(C407,C378,C348,C320,C317)</f>
        <v>2675000</v>
      </c>
      <c r="D408" s="509">
        <f>SUM(D407,D378,D348,D320,D317)</f>
        <v>579710</v>
      </c>
      <c r="E408" s="510"/>
      <c r="F408" s="509">
        <f>SUM(F407,F378,F348,F320,F317)</f>
        <v>535974.38</v>
      </c>
      <c r="G408" s="510"/>
      <c r="H408" s="509">
        <f>D408-F408</f>
        <v>43735.619999999995</v>
      </c>
      <c r="I408" s="509">
        <f>SUM(I407,I378,I348,I320,I317)</f>
        <v>4500</v>
      </c>
    </row>
    <row r="411" spans="1:9" x14ac:dyDescent="0.25">
      <c r="F411" s="511"/>
    </row>
  </sheetData>
  <mergeCells count="17">
    <mergeCell ref="E4:F4"/>
    <mergeCell ref="G4:I5"/>
    <mergeCell ref="B1:D1"/>
    <mergeCell ref="A9:B9"/>
    <mergeCell ref="E9:H9"/>
    <mergeCell ref="A2:I2"/>
    <mergeCell ref="A3:I3"/>
    <mergeCell ref="A4:C5"/>
    <mergeCell ref="D4:D5"/>
    <mergeCell ref="A11:B11"/>
    <mergeCell ref="E11:I12"/>
    <mergeCell ref="A12:B12"/>
    <mergeCell ref="A6:B6"/>
    <mergeCell ref="E6:G6"/>
    <mergeCell ref="H6:I6"/>
    <mergeCell ref="A7:B7"/>
    <mergeCell ref="A8:B8"/>
  </mergeCells>
  <pageMargins left="3.9583333333333297E-2" right="3.9583333333333297E-2" top="0.35416666666666702" bottom="0.35416666666666702" header="0.511811023622047" footer="0.511811023622047"/>
  <pageSetup paperSize="9" scale="70"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76"/>
  <sheetViews>
    <sheetView zoomScale="85" zoomScaleNormal="85" workbookViewId="0">
      <pane xSplit="2" ySplit="13" topLeftCell="C284" activePane="bottomRight" state="frozen"/>
      <selection pane="topRight" activeCell="C1" sqref="C1"/>
      <selection pane="bottomLeft" activeCell="A48" sqref="A48"/>
      <selection pane="bottomRight" activeCell="B289" sqref="B289"/>
    </sheetView>
  </sheetViews>
  <sheetFormatPr defaultColWidth="8.7109375" defaultRowHeight="15" x14ac:dyDescent="0.25"/>
  <cols>
    <col min="1" max="1" width="5.85546875" customWidth="1"/>
    <col min="2" max="2" width="53.5703125" customWidth="1"/>
    <col min="3" max="3" width="11.7109375" customWidth="1"/>
    <col min="4" max="4" width="15" customWidth="1"/>
    <col min="5" max="5" width="11.28515625" customWidth="1"/>
    <col min="6" max="6" width="12.5703125" customWidth="1"/>
    <col min="7" max="7" width="11.5703125" style="410" customWidth="1"/>
    <col min="8" max="8" width="13.7109375" customWidth="1"/>
    <col min="9" max="9" width="10.5703125" customWidth="1"/>
    <col min="10" max="10" width="37.5703125" customWidth="1"/>
  </cols>
  <sheetData>
    <row r="1" spans="1:9" x14ac:dyDescent="0.25">
      <c r="B1" s="581" t="s">
        <v>0</v>
      </c>
      <c r="C1" s="581"/>
      <c r="D1" s="581"/>
    </row>
    <row r="2" spans="1:9" x14ac:dyDescent="0.25">
      <c r="A2" s="628" t="s">
        <v>354</v>
      </c>
      <c r="B2" s="628"/>
      <c r="C2" s="628"/>
      <c r="D2" s="628"/>
      <c r="E2" s="628"/>
      <c r="F2" s="628"/>
      <c r="G2" s="628"/>
      <c r="H2" s="628"/>
      <c r="I2" s="628"/>
    </row>
    <row r="3" spans="1:9" ht="28.5" customHeight="1" x14ac:dyDescent="0.25">
      <c r="A3" s="629" t="s">
        <v>355</v>
      </c>
      <c r="B3" s="629"/>
      <c r="C3" s="629"/>
      <c r="D3" s="629"/>
      <c r="E3" s="629"/>
      <c r="F3" s="629"/>
      <c r="G3" s="629"/>
      <c r="H3" s="629"/>
      <c r="I3" s="629"/>
    </row>
    <row r="4" spans="1:9" ht="15.75" customHeight="1" thickBot="1" x14ac:dyDescent="0.3">
      <c r="A4" s="630"/>
      <c r="B4" s="630"/>
      <c r="C4" s="630"/>
      <c r="D4" s="631" t="s">
        <v>356</v>
      </c>
      <c r="E4" s="632" t="s">
        <v>592</v>
      </c>
      <c r="F4" s="632"/>
      <c r="G4" s="625"/>
      <c r="H4" s="625"/>
      <c r="I4" s="625"/>
    </row>
    <row r="5" spans="1:9" ht="15.75" thickBot="1" x14ac:dyDescent="0.3">
      <c r="A5" s="630"/>
      <c r="B5" s="630"/>
      <c r="C5" s="630"/>
      <c r="D5" s="634"/>
      <c r="E5" s="512" t="s">
        <v>593</v>
      </c>
      <c r="F5" s="513"/>
      <c r="G5" s="625"/>
      <c r="H5" s="625"/>
      <c r="I5" s="625"/>
    </row>
    <row r="6" spans="1:9" ht="15.75" thickBot="1" x14ac:dyDescent="0.3">
      <c r="A6" s="620" t="s">
        <v>359</v>
      </c>
      <c r="B6" s="620"/>
      <c r="C6" s="413"/>
      <c r="D6" s="562" t="s">
        <v>620</v>
      </c>
      <c r="E6" s="621" t="s">
        <v>361</v>
      </c>
      <c r="F6" s="621"/>
      <c r="G6" s="621"/>
      <c r="H6" s="633" t="str">
        <f>+' Qtr-1 April-24 to June-24 '!H6:I6</f>
        <v>Rs. 26,75,000/-</v>
      </c>
      <c r="I6" s="633"/>
    </row>
    <row r="7" spans="1:9" x14ac:dyDescent="0.25">
      <c r="A7" s="623" t="s">
        <v>621</v>
      </c>
      <c r="B7" s="623"/>
      <c r="C7" s="415"/>
      <c r="D7" s="420">
        <v>111252.21999999997</v>
      </c>
      <c r="E7" s="418"/>
      <c r="F7" s="418"/>
      <c r="G7" s="418"/>
      <c r="H7" s="418"/>
      <c r="I7" s="419"/>
    </row>
    <row r="8" spans="1:9" x14ac:dyDescent="0.25">
      <c r="A8" s="623" t="s">
        <v>363</v>
      </c>
      <c r="B8" s="623"/>
      <c r="C8" s="415"/>
      <c r="D8" s="420">
        <v>0</v>
      </c>
      <c r="E8" s="421"/>
      <c r="F8" s="421"/>
      <c r="G8" s="421"/>
      <c r="H8" s="421"/>
      <c r="I8" s="421"/>
    </row>
    <row r="9" spans="1:9" x14ac:dyDescent="0.25">
      <c r="A9" s="626" t="s">
        <v>594</v>
      </c>
      <c r="B9" s="626"/>
      <c r="C9" s="415"/>
      <c r="D9" s="420">
        <f>D8+D7</f>
        <v>111252.21999999997</v>
      </c>
      <c r="E9" s="421"/>
      <c r="F9" s="421"/>
      <c r="G9" s="421"/>
      <c r="H9" s="421"/>
      <c r="I9" s="421"/>
    </row>
    <row r="10" spans="1:9" x14ac:dyDescent="0.25">
      <c r="A10" s="623" t="s">
        <v>615</v>
      </c>
      <c r="B10" s="623"/>
      <c r="C10" s="415"/>
      <c r="D10" s="420">
        <v>2994</v>
      </c>
      <c r="E10" s="515"/>
      <c r="F10" s="516"/>
      <c r="G10" s="421"/>
      <c r="H10" s="516"/>
      <c r="I10" s="421"/>
    </row>
    <row r="11" spans="1:9" ht="14.25" customHeight="1" x14ac:dyDescent="0.25">
      <c r="A11" s="617" t="s">
        <v>595</v>
      </c>
      <c r="B11" s="617"/>
      <c r="C11" s="425"/>
      <c r="D11" s="518">
        <v>720885</v>
      </c>
      <c r="E11" s="618" t="s">
        <v>366</v>
      </c>
      <c r="F11" s="618"/>
      <c r="G11" s="618"/>
      <c r="H11" s="618"/>
      <c r="I11" s="618"/>
    </row>
    <row r="12" spans="1:9" x14ac:dyDescent="0.25">
      <c r="A12" s="619" t="s">
        <v>367</v>
      </c>
      <c r="B12" s="619"/>
      <c r="C12" s="427"/>
      <c r="D12" s="561">
        <f>SUM(D9:D11)</f>
        <v>835131.22</v>
      </c>
      <c r="E12" s="618"/>
      <c r="F12" s="618"/>
      <c r="G12" s="618"/>
      <c r="H12" s="618"/>
      <c r="I12" s="618"/>
    </row>
    <row r="13" spans="1:9" ht="45" x14ac:dyDescent="0.25">
      <c r="A13" s="429" t="s">
        <v>368</v>
      </c>
      <c r="B13" s="430" t="s">
        <v>369</v>
      </c>
      <c r="C13" s="430" t="s">
        <v>596</v>
      </c>
      <c r="D13" s="431" t="s">
        <v>617</v>
      </c>
      <c r="E13" s="432" t="s">
        <v>372</v>
      </c>
      <c r="F13" s="433" t="s">
        <v>373</v>
      </c>
      <c r="G13" s="434" t="s">
        <v>374</v>
      </c>
      <c r="H13" s="435" t="s">
        <v>375</v>
      </c>
      <c r="I13" s="436" t="s">
        <v>376</v>
      </c>
    </row>
    <row r="14" spans="1:9" x14ac:dyDescent="0.25">
      <c r="A14" s="42">
        <v>1</v>
      </c>
      <c r="B14" s="337" t="s">
        <v>56</v>
      </c>
      <c r="C14" s="338"/>
      <c r="D14" s="520"/>
      <c r="E14" s="520"/>
      <c r="F14" s="520"/>
      <c r="G14" s="437"/>
      <c r="H14" s="520"/>
      <c r="I14" s="520"/>
    </row>
    <row r="15" spans="1:9" x14ac:dyDescent="0.25">
      <c r="A15" s="50">
        <v>1.1000000000000001</v>
      </c>
      <c r="B15" s="51" t="s">
        <v>58</v>
      </c>
      <c r="C15" s="56">
        <v>0</v>
      </c>
      <c r="D15" s="521"/>
      <c r="E15" s="521"/>
      <c r="F15" s="521"/>
      <c r="G15" s="438"/>
      <c r="H15" s="521"/>
      <c r="I15" s="521"/>
    </row>
    <row r="16" spans="1:9" ht="24" customHeight="1" x14ac:dyDescent="0.25">
      <c r="A16" s="50"/>
      <c r="B16" s="51"/>
      <c r="C16" s="56"/>
      <c r="D16" s="521"/>
      <c r="E16" s="521"/>
      <c r="F16" s="521"/>
      <c r="G16" s="438"/>
      <c r="H16" s="521"/>
      <c r="I16" s="521"/>
    </row>
    <row r="17" spans="1:9" x14ac:dyDescent="0.25">
      <c r="A17" s="439"/>
      <c r="B17" s="440" t="s">
        <v>377</v>
      </c>
      <c r="C17" s="441"/>
      <c r="D17" s="522">
        <v>0</v>
      </c>
      <c r="E17" s="523"/>
      <c r="F17" s="523">
        <f>SUM(F16:F16)</f>
        <v>0</v>
      </c>
      <c r="G17" s="443"/>
      <c r="H17" s="524">
        <f>D17-F17</f>
        <v>0</v>
      </c>
      <c r="I17" s="523"/>
    </row>
    <row r="18" spans="1:9" x14ac:dyDescent="0.25">
      <c r="A18" s="445">
        <v>1.2</v>
      </c>
      <c r="B18" s="446" t="s">
        <v>59</v>
      </c>
      <c r="C18" s="66"/>
      <c r="D18" s="525"/>
      <c r="E18" s="525"/>
      <c r="F18" s="525"/>
      <c r="G18" s="447"/>
      <c r="H18" s="525"/>
      <c r="I18" s="525"/>
    </row>
    <row r="19" spans="1:9" ht="25.5" x14ac:dyDescent="0.25">
      <c r="A19" s="70" t="s">
        <v>60</v>
      </c>
      <c r="B19" s="51" t="s">
        <v>61</v>
      </c>
      <c r="C19" s="56">
        <v>79920</v>
      </c>
      <c r="D19" s="521"/>
      <c r="E19" s="521"/>
      <c r="F19" s="521"/>
      <c r="G19" s="438"/>
      <c r="H19" s="521"/>
      <c r="I19" s="521"/>
    </row>
    <row r="20" spans="1:9" ht="63.75" x14ac:dyDescent="0.25">
      <c r="A20" s="70"/>
      <c r="B20" s="51" t="s">
        <v>639</v>
      </c>
      <c r="C20" s="56"/>
      <c r="D20" s="521"/>
      <c r="E20" s="521" t="s">
        <v>640</v>
      </c>
      <c r="F20" s="521">
        <v>6480</v>
      </c>
      <c r="G20" s="341" t="s">
        <v>641</v>
      </c>
      <c r="H20" s="521"/>
      <c r="I20" s="521"/>
    </row>
    <row r="21" spans="1:9" ht="63.75" x14ac:dyDescent="0.25">
      <c r="A21" s="70"/>
      <c r="B21" s="51" t="s">
        <v>670</v>
      </c>
      <c r="C21" s="56"/>
      <c r="D21" s="521"/>
      <c r="E21" s="521" t="s">
        <v>668</v>
      </c>
      <c r="F21" s="521">
        <v>5100</v>
      </c>
      <c r="G21" s="341" t="s">
        <v>669</v>
      </c>
      <c r="H21" s="521"/>
      <c r="I21" s="521"/>
    </row>
    <row r="22" spans="1:9" ht="63.75" x14ac:dyDescent="0.25">
      <c r="A22" s="70"/>
      <c r="B22" s="51" t="s">
        <v>710</v>
      </c>
      <c r="C22" s="56"/>
      <c r="D22" s="521"/>
      <c r="E22" s="521" t="s">
        <v>708</v>
      </c>
      <c r="F22" s="521">
        <v>6000</v>
      </c>
      <c r="G22" s="438" t="s">
        <v>709</v>
      </c>
      <c r="H22" s="521"/>
      <c r="I22" s="521"/>
    </row>
    <row r="23" spans="1:9" ht="25.5" x14ac:dyDescent="0.25">
      <c r="A23" s="449"/>
      <c r="B23" s="440" t="s">
        <v>387</v>
      </c>
      <c r="C23" s="441"/>
      <c r="D23" s="450">
        <v>19980</v>
      </c>
      <c r="E23" s="523"/>
      <c r="F23" s="523">
        <f>SUM(F20:F22)</f>
        <v>17580</v>
      </c>
      <c r="G23" s="443"/>
      <c r="H23" s="524">
        <f>D23-F23</f>
        <v>2400</v>
      </c>
      <c r="I23" s="523"/>
    </row>
    <row r="24" spans="1:9" x14ac:dyDescent="0.25">
      <c r="A24" s="72"/>
      <c r="B24" s="451" t="s">
        <v>63</v>
      </c>
      <c r="C24" s="75">
        <f>SUM(C15,C19)</f>
        <v>79920</v>
      </c>
      <c r="D24" s="526">
        <f>D23+D17</f>
        <v>19980</v>
      </c>
      <c r="E24" s="526"/>
      <c r="F24" s="526">
        <f>SUM(F23)</f>
        <v>17580</v>
      </c>
      <c r="G24" s="526"/>
      <c r="H24" s="526">
        <f>D24-F24</f>
        <v>2400</v>
      </c>
      <c r="I24" s="75">
        <f>SUM(I15,I19)</f>
        <v>0</v>
      </c>
    </row>
    <row r="25" spans="1:9" ht="63.75" x14ac:dyDescent="0.25">
      <c r="A25" s="445">
        <v>1.3</v>
      </c>
      <c r="B25" s="452" t="s">
        <v>64</v>
      </c>
      <c r="C25" s="352"/>
      <c r="D25" s="525"/>
      <c r="E25" s="525"/>
      <c r="F25" s="525"/>
      <c r="G25" s="447"/>
      <c r="H25" s="525"/>
      <c r="I25" s="525"/>
    </row>
    <row r="26" spans="1:9" ht="28.5" customHeight="1" x14ac:dyDescent="0.25">
      <c r="A26" s="70" t="s">
        <v>65</v>
      </c>
      <c r="B26" s="51" t="s">
        <v>66</v>
      </c>
      <c r="C26" s="56">
        <v>2000</v>
      </c>
      <c r="D26" s="521"/>
      <c r="E26" s="521"/>
      <c r="F26" s="521"/>
      <c r="G26" s="438"/>
      <c r="H26" s="521"/>
      <c r="I26" s="521"/>
    </row>
    <row r="27" spans="1:9" x14ac:dyDescent="0.25">
      <c r="A27" s="70"/>
      <c r="B27" s="51"/>
      <c r="C27" s="56"/>
      <c r="D27" s="521"/>
      <c r="E27" s="521"/>
      <c r="F27" s="521"/>
      <c r="G27" s="438"/>
      <c r="H27" s="521"/>
      <c r="I27" s="521"/>
    </row>
    <row r="28" spans="1:9" x14ac:dyDescent="0.25">
      <c r="A28" s="449"/>
      <c r="B28" s="440" t="s">
        <v>393</v>
      </c>
      <c r="C28" s="441"/>
      <c r="D28" s="523">
        <v>0</v>
      </c>
      <c r="E28" s="523"/>
      <c r="F28" s="523">
        <f>SUM(F27:F27)</f>
        <v>0</v>
      </c>
      <c r="G28" s="443"/>
      <c r="H28" s="524">
        <f>D28-F28</f>
        <v>0</v>
      </c>
      <c r="I28" s="523"/>
    </row>
    <row r="29" spans="1:9" ht="16.5" customHeight="1" x14ac:dyDescent="0.25">
      <c r="A29" s="70" t="s">
        <v>68</v>
      </c>
      <c r="B29" s="84" t="s">
        <v>69</v>
      </c>
      <c r="C29" s="56">
        <v>12480</v>
      </c>
      <c r="D29" s="521"/>
      <c r="E29" s="521"/>
      <c r="F29" s="521"/>
      <c r="G29" s="438"/>
      <c r="H29" s="521"/>
      <c r="I29" s="521"/>
    </row>
    <row r="30" spans="1:9" x14ac:dyDescent="0.25">
      <c r="A30" s="70"/>
      <c r="B30" s="84"/>
      <c r="C30" s="56"/>
      <c r="D30" s="521"/>
      <c r="E30" s="521"/>
      <c r="F30" s="521"/>
      <c r="G30" s="438"/>
      <c r="H30" s="521"/>
      <c r="I30" s="521"/>
    </row>
    <row r="31" spans="1:9" x14ac:dyDescent="0.25">
      <c r="A31" s="449"/>
      <c r="B31" s="453" t="s">
        <v>396</v>
      </c>
      <c r="C31" s="441"/>
      <c r="D31" s="523">
        <v>3120</v>
      </c>
      <c r="E31" s="523"/>
      <c r="F31" s="523">
        <f>SUM(F30:F30)</f>
        <v>0</v>
      </c>
      <c r="G31" s="443"/>
      <c r="H31" s="524">
        <f>D31-F31</f>
        <v>3120</v>
      </c>
      <c r="I31" s="523"/>
    </row>
    <row r="32" spans="1:9" ht="28.5" customHeight="1" x14ac:dyDescent="0.25">
      <c r="A32" s="70" t="s">
        <v>72</v>
      </c>
      <c r="B32" s="51" t="s">
        <v>73</v>
      </c>
      <c r="C32" s="56">
        <v>20000</v>
      </c>
      <c r="D32" s="521"/>
      <c r="E32" s="521"/>
      <c r="F32" s="521"/>
      <c r="G32" s="438"/>
      <c r="H32" s="521"/>
      <c r="I32" s="521"/>
    </row>
    <row r="33" spans="1:9" x14ac:dyDescent="0.25">
      <c r="A33" s="70"/>
      <c r="B33" s="51"/>
      <c r="C33" s="56"/>
      <c r="D33" s="521"/>
      <c r="E33" s="521"/>
      <c r="F33" s="521"/>
      <c r="G33" s="438"/>
      <c r="H33" s="521"/>
      <c r="I33" s="521"/>
    </row>
    <row r="34" spans="1:9" x14ac:dyDescent="0.25">
      <c r="A34" s="449"/>
      <c r="B34" s="440" t="s">
        <v>399</v>
      </c>
      <c r="C34" s="441"/>
      <c r="D34" s="523">
        <v>5000</v>
      </c>
      <c r="E34" s="523"/>
      <c r="F34" s="523">
        <f>SUM(F33:F33)</f>
        <v>0</v>
      </c>
      <c r="G34" s="443"/>
      <c r="H34" s="524">
        <f>D34-F34</f>
        <v>5000</v>
      </c>
      <c r="I34" s="523"/>
    </row>
    <row r="35" spans="1:9" x14ac:dyDescent="0.25">
      <c r="A35" s="70" t="s">
        <v>76</v>
      </c>
      <c r="B35" s="51" t="s">
        <v>77</v>
      </c>
      <c r="C35" s="56">
        <v>2000</v>
      </c>
      <c r="D35" s="521"/>
      <c r="E35" s="521"/>
      <c r="F35" s="521"/>
      <c r="G35" s="438"/>
      <c r="H35" s="521"/>
      <c r="I35" s="521"/>
    </row>
    <row r="36" spans="1:9" x14ac:dyDescent="0.25">
      <c r="A36" s="70"/>
      <c r="B36" s="51"/>
      <c r="C36" s="56"/>
      <c r="D36" s="521"/>
      <c r="E36" s="521"/>
      <c r="F36" s="521"/>
      <c r="G36" s="438"/>
      <c r="H36" s="521"/>
      <c r="I36" s="521"/>
    </row>
    <row r="37" spans="1:9" ht="25.5" x14ac:dyDescent="0.25">
      <c r="A37" s="449"/>
      <c r="B37" s="440" t="s">
        <v>402</v>
      </c>
      <c r="C37" s="441"/>
      <c r="D37" s="523">
        <v>500</v>
      </c>
      <c r="E37" s="523"/>
      <c r="F37" s="523">
        <f>SUM(F36:F36)</f>
        <v>0</v>
      </c>
      <c r="G37" s="443"/>
      <c r="H37" s="524">
        <f>D37-F37</f>
        <v>500</v>
      </c>
      <c r="I37" s="523"/>
    </row>
    <row r="38" spans="1:9" x14ac:dyDescent="0.25">
      <c r="A38" s="85"/>
      <c r="B38" s="451" t="s">
        <v>79</v>
      </c>
      <c r="C38" s="75">
        <f>SUM(C26:C35)</f>
        <v>36480</v>
      </c>
      <c r="D38" s="527">
        <f>SUM(D37,D34,D31,D28)</f>
        <v>8620</v>
      </c>
      <c r="E38" s="528"/>
      <c r="F38" s="527">
        <f>SUM(F37,F34,F31,F28)</f>
        <v>0</v>
      </c>
      <c r="G38" s="455"/>
      <c r="H38" s="529">
        <f>D38-F38</f>
        <v>8620</v>
      </c>
      <c r="I38" s="528"/>
    </row>
    <row r="39" spans="1:9" ht="63.75" x14ac:dyDescent="0.25">
      <c r="A39" s="445">
        <v>1.4</v>
      </c>
      <c r="B39" s="452" t="s">
        <v>80</v>
      </c>
      <c r="C39" s="352"/>
      <c r="D39" s="525"/>
      <c r="E39" s="525"/>
      <c r="F39" s="525"/>
      <c r="G39" s="447"/>
      <c r="H39" s="525"/>
      <c r="I39" s="525"/>
    </row>
    <row r="40" spans="1:9" x14ac:dyDescent="0.25">
      <c r="A40" s="90" t="s">
        <v>81</v>
      </c>
      <c r="B40" s="51" t="s">
        <v>82</v>
      </c>
      <c r="C40" s="56">
        <v>8000</v>
      </c>
      <c r="D40" s="521"/>
      <c r="E40" s="521"/>
      <c r="F40" s="521"/>
      <c r="G40" s="438"/>
      <c r="H40" s="521"/>
      <c r="I40" s="521"/>
    </row>
    <row r="41" spans="1:9" ht="51" x14ac:dyDescent="0.25">
      <c r="A41" s="90"/>
      <c r="B41" s="51" t="s">
        <v>737</v>
      </c>
      <c r="C41" s="56"/>
      <c r="D41" s="521"/>
      <c r="E41" s="521" t="s">
        <v>657</v>
      </c>
      <c r="F41" s="521">
        <v>180</v>
      </c>
      <c r="G41" s="341" t="s">
        <v>659</v>
      </c>
      <c r="H41" s="521"/>
      <c r="I41" s="521"/>
    </row>
    <row r="42" spans="1:9" ht="51" x14ac:dyDescent="0.25">
      <c r="A42" s="90"/>
      <c r="B42" s="51" t="s">
        <v>736</v>
      </c>
      <c r="C42" s="56"/>
      <c r="D42" s="521"/>
      <c r="E42" s="521" t="s">
        <v>657</v>
      </c>
      <c r="F42" s="521">
        <v>1750</v>
      </c>
      <c r="G42" s="341" t="s">
        <v>660</v>
      </c>
      <c r="H42" s="521"/>
      <c r="I42" s="521"/>
    </row>
    <row r="43" spans="1:9" x14ac:dyDescent="0.25">
      <c r="A43" s="449"/>
      <c r="B43" s="440" t="s">
        <v>408</v>
      </c>
      <c r="C43" s="441"/>
      <c r="D43" s="523">
        <v>2000</v>
      </c>
      <c r="E43" s="523"/>
      <c r="F43" s="523">
        <f>SUM(F41:F42)</f>
        <v>1930</v>
      </c>
      <c r="G43" s="443"/>
      <c r="H43" s="524">
        <f>D43-F43</f>
        <v>70</v>
      </c>
      <c r="I43" s="523"/>
    </row>
    <row r="44" spans="1:9" ht="25.5" x14ac:dyDescent="0.25">
      <c r="A44" s="90" t="s">
        <v>83</v>
      </c>
      <c r="B44" s="51" t="s">
        <v>84</v>
      </c>
      <c r="C44" s="56">
        <v>19680</v>
      </c>
      <c r="D44" s="521"/>
      <c r="E44" s="521"/>
      <c r="F44" s="521"/>
      <c r="G44" s="438"/>
      <c r="H44" s="521"/>
      <c r="I44" s="521"/>
    </row>
    <row r="45" spans="1:9" ht="63.75" x14ac:dyDescent="0.25">
      <c r="A45" s="90"/>
      <c r="B45" s="51" t="s">
        <v>735</v>
      </c>
      <c r="C45" s="56"/>
      <c r="D45" s="521"/>
      <c r="E45" s="521" t="s">
        <v>657</v>
      </c>
      <c r="F45" s="521">
        <v>4680</v>
      </c>
      <c r="G45" s="341" t="s">
        <v>659</v>
      </c>
      <c r="H45" s="521"/>
      <c r="I45" s="521"/>
    </row>
    <row r="46" spans="1:9" x14ac:dyDescent="0.25">
      <c r="A46" s="90"/>
      <c r="B46" s="51"/>
      <c r="C46" s="56"/>
      <c r="D46" s="521"/>
      <c r="E46" s="521"/>
      <c r="F46" s="521"/>
      <c r="G46" s="438"/>
      <c r="H46" s="521"/>
      <c r="I46" s="521"/>
    </row>
    <row r="47" spans="1:9" x14ac:dyDescent="0.25">
      <c r="A47" s="449"/>
      <c r="B47" s="440" t="s">
        <v>411</v>
      </c>
      <c r="C47" s="441"/>
      <c r="D47" s="523">
        <v>4920</v>
      </c>
      <c r="E47" s="523"/>
      <c r="F47" s="523">
        <f>SUM(F45:F46)</f>
        <v>4680</v>
      </c>
      <c r="G47" s="443"/>
      <c r="H47" s="524">
        <f>D47-F47</f>
        <v>240</v>
      </c>
      <c r="I47" s="523"/>
    </row>
    <row r="48" spans="1:9" ht="38.25" x14ac:dyDescent="0.25">
      <c r="A48" s="90" t="s">
        <v>85</v>
      </c>
      <c r="B48" s="51" t="s">
        <v>86</v>
      </c>
      <c r="C48" s="56">
        <v>30000</v>
      </c>
      <c r="D48" s="521"/>
      <c r="E48" s="521"/>
      <c r="F48" s="521"/>
      <c r="G48" s="438"/>
      <c r="H48" s="521"/>
      <c r="I48" s="521"/>
    </row>
    <row r="49" spans="1:10" ht="63.75" x14ac:dyDescent="0.25">
      <c r="A49" s="90"/>
      <c r="B49" s="51" t="s">
        <v>738</v>
      </c>
      <c r="C49" s="56"/>
      <c r="D49" s="521"/>
      <c r="E49" s="521" t="s">
        <v>657</v>
      </c>
      <c r="F49" s="521">
        <v>5000</v>
      </c>
      <c r="G49" s="341" t="s">
        <v>658</v>
      </c>
      <c r="H49" s="521"/>
      <c r="I49" s="521"/>
    </row>
    <row r="50" spans="1:10" x14ac:dyDescent="0.25">
      <c r="A50" s="90"/>
      <c r="B50" s="51"/>
      <c r="C50" s="56"/>
      <c r="D50" s="521"/>
      <c r="E50" s="521"/>
      <c r="F50" s="521"/>
      <c r="G50" s="438"/>
      <c r="H50" s="521"/>
      <c r="I50" s="521"/>
    </row>
    <row r="51" spans="1:10" x14ac:dyDescent="0.25">
      <c r="A51" s="449"/>
      <c r="B51" s="440" t="s">
        <v>414</v>
      </c>
      <c r="C51" s="441"/>
      <c r="D51" s="523">
        <v>7500</v>
      </c>
      <c r="E51" s="523"/>
      <c r="F51" s="523">
        <f>SUM(F49:F50)</f>
        <v>5000</v>
      </c>
      <c r="G51" s="443"/>
      <c r="H51" s="524">
        <f>D51-F51</f>
        <v>2500</v>
      </c>
      <c r="I51" s="523"/>
    </row>
    <row r="52" spans="1:10" x14ac:dyDescent="0.25">
      <c r="A52" s="90" t="s">
        <v>88</v>
      </c>
      <c r="B52" s="51" t="s">
        <v>77</v>
      </c>
      <c r="C52" s="56">
        <v>2000</v>
      </c>
      <c r="D52" s="521"/>
      <c r="E52" s="521"/>
      <c r="F52" s="521"/>
      <c r="G52" s="438"/>
      <c r="H52" s="521"/>
      <c r="I52" s="521"/>
    </row>
    <row r="53" spans="1:10" ht="63.75" x14ac:dyDescent="0.25">
      <c r="A53" s="90"/>
      <c r="B53" s="51" t="s">
        <v>739</v>
      </c>
      <c r="C53" s="56"/>
      <c r="D53" s="521"/>
      <c r="E53" s="521" t="s">
        <v>661</v>
      </c>
      <c r="F53" s="521">
        <v>525</v>
      </c>
      <c r="G53" s="341" t="s">
        <v>662</v>
      </c>
      <c r="H53" s="521"/>
      <c r="I53" s="521"/>
    </row>
    <row r="54" spans="1:10" x14ac:dyDescent="0.25">
      <c r="A54" s="90"/>
      <c r="B54" s="51"/>
      <c r="C54" s="56"/>
      <c r="D54" s="521"/>
      <c r="E54" s="521"/>
      <c r="F54" s="521"/>
      <c r="G54" s="438"/>
      <c r="H54" s="521"/>
      <c r="I54" s="521"/>
    </row>
    <row r="55" spans="1:10" x14ac:dyDescent="0.25">
      <c r="A55" s="449"/>
      <c r="B55" s="440" t="s">
        <v>417</v>
      </c>
      <c r="C55" s="441"/>
      <c r="D55" s="523">
        <v>500</v>
      </c>
      <c r="E55" s="523"/>
      <c r="F55" s="523">
        <f>SUM(F53:F54)</f>
        <v>525</v>
      </c>
      <c r="G55" s="443"/>
      <c r="H55" s="524">
        <f>D55-F55</f>
        <v>-25</v>
      </c>
      <c r="I55" s="523"/>
    </row>
    <row r="56" spans="1:10" x14ac:dyDescent="0.25">
      <c r="A56" s="94"/>
      <c r="B56" s="457" t="s">
        <v>89</v>
      </c>
      <c r="C56" s="97">
        <f>SUM(C40:C52)</f>
        <v>59680</v>
      </c>
      <c r="D56" s="528">
        <f>SUM(D55,D51,D47,D43)</f>
        <v>14920</v>
      </c>
      <c r="E56" s="528"/>
      <c r="F56" s="528">
        <f>SUM(F55,F51,F47,F43)</f>
        <v>12135</v>
      </c>
      <c r="G56" s="455"/>
      <c r="H56" s="529">
        <f>D56-F56</f>
        <v>2785</v>
      </c>
      <c r="I56" s="528"/>
    </row>
    <row r="57" spans="1:10" x14ac:dyDescent="0.25">
      <c r="A57" s="445">
        <v>1.5</v>
      </c>
      <c r="B57" s="452" t="s">
        <v>90</v>
      </c>
      <c r="C57" s="352"/>
      <c r="D57" s="525"/>
      <c r="E57" s="525"/>
      <c r="F57" s="525"/>
      <c r="G57" s="447"/>
      <c r="H57" s="525"/>
      <c r="I57" s="525"/>
    </row>
    <row r="58" spans="1:10" ht="44.25" customHeight="1" x14ac:dyDescent="0.25">
      <c r="A58" s="90" t="s">
        <v>91</v>
      </c>
      <c r="B58" s="51" t="s">
        <v>346</v>
      </c>
      <c r="C58" s="56">
        <v>157320</v>
      </c>
      <c r="D58" s="521"/>
      <c r="E58" s="521"/>
      <c r="F58" s="521"/>
      <c r="G58" s="438"/>
      <c r="H58" s="521"/>
      <c r="I58" s="521"/>
      <c r="J58" s="458"/>
    </row>
    <row r="59" spans="1:10" ht="51" x14ac:dyDescent="0.25">
      <c r="A59" s="90"/>
      <c r="B59" s="51" t="s">
        <v>705</v>
      </c>
      <c r="C59" s="56"/>
      <c r="D59" s="521"/>
      <c r="E59" s="521" t="s">
        <v>706</v>
      </c>
      <c r="F59" s="521">
        <v>154754</v>
      </c>
      <c r="G59" s="438" t="s">
        <v>707</v>
      </c>
      <c r="H59" s="521"/>
      <c r="I59" s="521"/>
    </row>
    <row r="60" spans="1:10" x14ac:dyDescent="0.25">
      <c r="A60" s="449"/>
      <c r="B60" s="440" t="s">
        <v>418</v>
      </c>
      <c r="C60" s="441"/>
      <c r="D60" s="522"/>
      <c r="E60" s="523"/>
      <c r="F60" s="523">
        <f>SUM(F59:F59)</f>
        <v>154754</v>
      </c>
      <c r="G60" s="443"/>
      <c r="H60" s="524">
        <f>D60-F60</f>
        <v>-154754</v>
      </c>
      <c r="I60" s="523"/>
    </row>
    <row r="61" spans="1:10" x14ac:dyDescent="0.25">
      <c r="A61" s="94"/>
      <c r="B61" s="457" t="s">
        <v>93</v>
      </c>
      <c r="C61" s="97">
        <f>C58</f>
        <v>157320</v>
      </c>
      <c r="D61" s="530">
        <v>157320</v>
      </c>
      <c r="E61" s="528"/>
      <c r="F61" s="528">
        <f>F60</f>
        <v>154754</v>
      </c>
      <c r="G61" s="455"/>
      <c r="H61" s="529">
        <f>D61-F61</f>
        <v>2566</v>
      </c>
      <c r="I61" s="528"/>
    </row>
    <row r="62" spans="1:10" x14ac:dyDescent="0.25">
      <c r="A62" s="445">
        <v>1.6</v>
      </c>
      <c r="B62" s="452" t="s">
        <v>94</v>
      </c>
      <c r="C62" s="358"/>
      <c r="D62" s="525"/>
      <c r="E62" s="525"/>
      <c r="F62" s="525"/>
      <c r="G62" s="447"/>
      <c r="H62" s="525"/>
      <c r="I62" s="525"/>
    </row>
    <row r="63" spans="1:10" x14ac:dyDescent="0.25">
      <c r="A63" s="90" t="s">
        <v>95</v>
      </c>
      <c r="B63" s="51" t="s">
        <v>96</v>
      </c>
      <c r="C63" s="56"/>
      <c r="D63" s="521"/>
      <c r="E63" s="521"/>
      <c r="F63" s="521"/>
      <c r="G63" s="438"/>
      <c r="H63" s="521"/>
      <c r="I63" s="521"/>
    </row>
    <row r="64" spans="1:10" x14ac:dyDescent="0.25">
      <c r="A64" s="90"/>
      <c r="B64" s="51"/>
      <c r="C64" s="56"/>
      <c r="D64" s="521"/>
      <c r="E64" s="521"/>
      <c r="F64" s="521"/>
      <c r="G64" s="438"/>
      <c r="H64" s="521"/>
      <c r="I64" s="521"/>
    </row>
    <row r="65" spans="1:10" x14ac:dyDescent="0.25">
      <c r="A65" s="449"/>
      <c r="B65" s="440" t="s">
        <v>597</v>
      </c>
      <c r="C65" s="441"/>
      <c r="D65" s="522"/>
      <c r="E65" s="523"/>
      <c r="F65" s="523">
        <f>SUM(F64:F64)</f>
        <v>0</v>
      </c>
      <c r="G65" s="443"/>
      <c r="H65" s="524">
        <f>D65-F65</f>
        <v>0</v>
      </c>
      <c r="I65" s="523"/>
    </row>
    <row r="66" spans="1:10" ht="25.5" x14ac:dyDescent="0.25">
      <c r="A66" s="90" t="s">
        <v>99</v>
      </c>
      <c r="B66" s="84" t="s">
        <v>100</v>
      </c>
      <c r="C66" s="56"/>
      <c r="D66" s="521"/>
      <c r="E66" s="521"/>
      <c r="F66" s="521"/>
      <c r="G66" s="438"/>
      <c r="H66" s="521"/>
      <c r="I66" s="521"/>
    </row>
    <row r="67" spans="1:10" x14ac:dyDescent="0.25">
      <c r="A67" s="90"/>
      <c r="B67" s="84"/>
      <c r="C67" s="56"/>
      <c r="D67" s="521"/>
      <c r="E67" s="521"/>
      <c r="F67" s="521"/>
      <c r="G67" s="438"/>
      <c r="H67" s="521"/>
      <c r="I67" s="521"/>
    </row>
    <row r="68" spans="1:10" x14ac:dyDescent="0.25">
      <c r="A68" s="449"/>
      <c r="B68" s="440" t="s">
        <v>598</v>
      </c>
      <c r="C68" s="441"/>
      <c r="D68" s="522"/>
      <c r="E68" s="523"/>
      <c r="F68" s="523">
        <f>SUM(F67:F67)</f>
        <v>0</v>
      </c>
      <c r="G68" s="443"/>
      <c r="H68" s="524">
        <f>D68-F68</f>
        <v>0</v>
      </c>
      <c r="I68" s="523"/>
    </row>
    <row r="69" spans="1:10" ht="38.25" x14ac:dyDescent="0.25">
      <c r="A69" s="90" t="s">
        <v>101</v>
      </c>
      <c r="B69" s="51" t="s">
        <v>102</v>
      </c>
      <c r="C69" s="56"/>
      <c r="D69" s="521"/>
      <c r="E69" s="521"/>
      <c r="F69" s="521"/>
      <c r="G69" s="438"/>
      <c r="H69" s="521"/>
      <c r="I69" s="521"/>
    </row>
    <row r="70" spans="1:10" x14ac:dyDescent="0.25">
      <c r="A70" s="90"/>
      <c r="B70" s="51"/>
      <c r="C70" s="56"/>
      <c r="D70" s="521"/>
      <c r="E70" s="521"/>
      <c r="F70" s="521"/>
      <c r="G70" s="438"/>
      <c r="H70" s="521"/>
      <c r="I70" s="521"/>
    </row>
    <row r="71" spans="1:10" x14ac:dyDescent="0.25">
      <c r="A71" s="449"/>
      <c r="B71" s="440" t="s">
        <v>599</v>
      </c>
      <c r="C71" s="441"/>
      <c r="D71" s="522"/>
      <c r="E71" s="523"/>
      <c r="F71" s="523">
        <f>SUM(F70:F70)</f>
        <v>0</v>
      </c>
      <c r="G71" s="443"/>
      <c r="H71" s="524">
        <f>D71-F71</f>
        <v>0</v>
      </c>
      <c r="I71" s="523"/>
    </row>
    <row r="72" spans="1:10" x14ac:dyDescent="0.25">
      <c r="A72" s="90" t="s">
        <v>103</v>
      </c>
      <c r="B72" s="51" t="s">
        <v>104</v>
      </c>
      <c r="C72" s="56"/>
      <c r="D72" s="521"/>
      <c r="E72" s="521"/>
      <c r="F72" s="521"/>
      <c r="G72" s="438"/>
      <c r="H72" s="521"/>
      <c r="I72" s="521"/>
    </row>
    <row r="73" spans="1:10" x14ac:dyDescent="0.25">
      <c r="A73" s="90"/>
      <c r="B73" s="51"/>
      <c r="C73" s="56"/>
      <c r="D73" s="521"/>
      <c r="E73" s="521"/>
      <c r="F73" s="521"/>
      <c r="G73" s="438"/>
      <c r="H73" s="521"/>
      <c r="I73" s="521"/>
    </row>
    <row r="74" spans="1:10" x14ac:dyDescent="0.25">
      <c r="A74" s="449"/>
      <c r="B74" s="440" t="s">
        <v>600</v>
      </c>
      <c r="C74" s="441"/>
      <c r="D74" s="522"/>
      <c r="E74" s="523"/>
      <c r="F74" s="523">
        <f>SUM(F73:F73)</f>
        <v>0</v>
      </c>
      <c r="G74" s="443"/>
      <c r="H74" s="524">
        <f>D74-F74</f>
        <v>0</v>
      </c>
      <c r="I74" s="523"/>
    </row>
    <row r="75" spans="1:10" ht="21.75" customHeight="1" x14ac:dyDescent="0.25">
      <c r="A75" s="94"/>
      <c r="B75" s="457" t="s">
        <v>105</v>
      </c>
      <c r="C75" s="97">
        <f>SUM(C63:C72)</f>
        <v>0</v>
      </c>
      <c r="D75" s="531">
        <v>0</v>
      </c>
      <c r="E75" s="528"/>
      <c r="F75" s="531">
        <f>SUM(F74+F71+F68+F65)</f>
        <v>0</v>
      </c>
      <c r="G75" s="455"/>
      <c r="H75" s="529">
        <f>D75-F75</f>
        <v>0</v>
      </c>
      <c r="I75" s="528"/>
      <c r="J75" s="461"/>
    </row>
    <row r="76" spans="1:10" x14ac:dyDescent="0.25">
      <c r="A76" s="359"/>
      <c r="B76" s="462" t="s">
        <v>106</v>
      </c>
      <c r="C76" s="98">
        <f>SUM(C75,C61,C56,C38,C24)</f>
        <v>333400</v>
      </c>
      <c r="D76" s="532">
        <f>SUM(D75,D61,D56,D38,D24)</f>
        <v>200840</v>
      </c>
      <c r="E76" s="533"/>
      <c r="F76" s="532">
        <f>SUM(F75,F61,F56,F38,F24,F17)</f>
        <v>184469</v>
      </c>
      <c r="G76" s="464"/>
      <c r="H76" s="534">
        <f>D76-F76</f>
        <v>16371</v>
      </c>
      <c r="I76" s="533"/>
    </row>
    <row r="77" spans="1:10" x14ac:dyDescent="0.25">
      <c r="A77" s="116"/>
      <c r="B77" s="466" t="s">
        <v>107</v>
      </c>
      <c r="C77" s="119"/>
      <c r="D77" s="535"/>
      <c r="E77" s="535"/>
      <c r="F77" s="535"/>
      <c r="G77" s="467"/>
      <c r="H77" s="535"/>
      <c r="I77" s="535"/>
    </row>
    <row r="78" spans="1:10" ht="74.25" customHeight="1" x14ac:dyDescent="0.25">
      <c r="A78" s="445">
        <v>2.1</v>
      </c>
      <c r="B78" s="452" t="s">
        <v>108</v>
      </c>
      <c r="C78" s="363"/>
      <c r="D78" s="536"/>
      <c r="E78" s="536"/>
      <c r="F78" s="536"/>
      <c r="G78" s="468"/>
      <c r="H78" s="536"/>
      <c r="I78" s="536"/>
    </row>
    <row r="79" spans="1:10" x14ac:dyDescent="0.25">
      <c r="A79" s="124" t="s">
        <v>109</v>
      </c>
      <c r="B79" s="51" t="s">
        <v>110</v>
      </c>
      <c r="C79" s="56">
        <v>8000</v>
      </c>
      <c r="D79" s="521"/>
      <c r="E79" s="521"/>
      <c r="F79" s="521"/>
      <c r="G79" s="438"/>
      <c r="H79" s="521"/>
      <c r="I79" s="521"/>
    </row>
    <row r="80" spans="1:10" ht="51" x14ac:dyDescent="0.25">
      <c r="A80" s="124"/>
      <c r="B80" s="51" t="s">
        <v>677</v>
      </c>
      <c r="C80" s="56"/>
      <c r="D80" s="521"/>
      <c r="E80" s="521" t="s">
        <v>672</v>
      </c>
      <c r="F80" s="521">
        <v>180</v>
      </c>
      <c r="G80" s="438" t="s">
        <v>678</v>
      </c>
      <c r="H80" s="521"/>
      <c r="I80" s="521"/>
    </row>
    <row r="81" spans="1:9" ht="51" x14ac:dyDescent="0.25">
      <c r="A81" s="124"/>
      <c r="B81" s="51" t="s">
        <v>680</v>
      </c>
      <c r="C81" s="56"/>
      <c r="D81" s="521"/>
      <c r="E81" s="521" t="s">
        <v>672</v>
      </c>
      <c r="F81" s="521">
        <v>1750</v>
      </c>
      <c r="G81" s="438" t="s">
        <v>681</v>
      </c>
      <c r="H81" s="521"/>
      <c r="I81" s="521"/>
    </row>
    <row r="82" spans="1:9" x14ac:dyDescent="0.25">
      <c r="A82" s="469"/>
      <c r="B82" s="440" t="s">
        <v>422</v>
      </c>
      <c r="C82" s="441"/>
      <c r="D82" s="523">
        <v>2000</v>
      </c>
      <c r="E82" s="523"/>
      <c r="F82" s="523">
        <f>SUM(F80:F81)</f>
        <v>1930</v>
      </c>
      <c r="G82" s="443"/>
      <c r="H82" s="524">
        <f>D82-F82</f>
        <v>70</v>
      </c>
      <c r="I82" s="523"/>
    </row>
    <row r="83" spans="1:9" ht="25.5" x14ac:dyDescent="0.25">
      <c r="A83" s="124" t="s">
        <v>111</v>
      </c>
      <c r="B83" s="51" t="s">
        <v>112</v>
      </c>
      <c r="C83" s="56">
        <v>19680</v>
      </c>
      <c r="D83" s="521"/>
      <c r="E83" s="521"/>
      <c r="F83" s="521"/>
      <c r="G83" s="438"/>
      <c r="H83" s="521"/>
      <c r="I83" s="521"/>
    </row>
    <row r="84" spans="1:9" ht="65.25" customHeight="1" x14ac:dyDescent="0.25">
      <c r="A84" s="124"/>
      <c r="B84" s="51" t="s">
        <v>676</v>
      </c>
      <c r="C84" s="56"/>
      <c r="D84" s="521"/>
      <c r="E84" s="521" t="s">
        <v>672</v>
      </c>
      <c r="F84" s="521">
        <v>4440</v>
      </c>
      <c r="G84" s="438" t="s">
        <v>675</v>
      </c>
      <c r="H84" s="521"/>
      <c r="I84" s="521"/>
    </row>
    <row r="85" spans="1:9" x14ac:dyDescent="0.25">
      <c r="A85" s="124"/>
      <c r="B85" s="51"/>
      <c r="C85" s="56"/>
      <c r="D85" s="521"/>
      <c r="E85" s="521"/>
      <c r="F85" s="521"/>
      <c r="G85" s="438"/>
      <c r="H85" s="521"/>
      <c r="I85" s="521"/>
    </row>
    <row r="86" spans="1:9" x14ac:dyDescent="0.25">
      <c r="A86" s="469"/>
      <c r="B86" s="440" t="s">
        <v>425</v>
      </c>
      <c r="C86" s="441"/>
      <c r="D86" s="523">
        <v>4920</v>
      </c>
      <c r="E86" s="523"/>
      <c r="F86" s="523">
        <f>SUM(F84:F85)</f>
        <v>4440</v>
      </c>
      <c r="G86" s="443"/>
      <c r="H86" s="524">
        <f>D86-F86</f>
        <v>480</v>
      </c>
      <c r="I86" s="523"/>
    </row>
    <row r="87" spans="1:9" ht="25.5" x14ac:dyDescent="0.25">
      <c r="A87" s="124" t="s">
        <v>113</v>
      </c>
      <c r="B87" s="51" t="s">
        <v>114</v>
      </c>
      <c r="C87" s="56">
        <v>20000</v>
      </c>
      <c r="D87" s="521"/>
      <c r="E87" s="521"/>
      <c r="F87" s="521"/>
      <c r="G87" s="438"/>
      <c r="H87" s="521"/>
      <c r="I87" s="521"/>
    </row>
    <row r="88" spans="1:9" ht="63.75" x14ac:dyDescent="0.25">
      <c r="A88" s="124"/>
      <c r="B88" s="51" t="s">
        <v>740</v>
      </c>
      <c r="C88" s="56"/>
      <c r="D88" s="521"/>
      <c r="E88" s="521" t="s">
        <v>668</v>
      </c>
      <c r="F88" s="521">
        <v>5000</v>
      </c>
      <c r="G88" s="438" t="s">
        <v>679</v>
      </c>
      <c r="H88" s="521"/>
      <c r="I88" s="521"/>
    </row>
    <row r="89" spans="1:9" x14ac:dyDescent="0.25">
      <c r="A89" s="124"/>
      <c r="B89" s="51"/>
      <c r="C89" s="56"/>
      <c r="D89" s="521"/>
      <c r="E89" s="521"/>
      <c r="F89" s="521"/>
      <c r="G89" s="438"/>
      <c r="H89" s="521"/>
      <c r="I89" s="521"/>
    </row>
    <row r="90" spans="1:9" x14ac:dyDescent="0.25">
      <c r="A90" s="469"/>
      <c r="B90" s="440" t="s">
        <v>427</v>
      </c>
      <c r="C90" s="441"/>
      <c r="D90" s="523">
        <v>5000</v>
      </c>
      <c r="E90" s="523"/>
      <c r="F90" s="523">
        <f>SUM(F88:F89)</f>
        <v>5000</v>
      </c>
      <c r="G90" s="443"/>
      <c r="H90" s="524">
        <f>D90-F90</f>
        <v>0</v>
      </c>
      <c r="I90" s="523"/>
    </row>
    <row r="91" spans="1:9" x14ac:dyDescent="0.25">
      <c r="A91" s="124" t="s">
        <v>116</v>
      </c>
      <c r="B91" s="51" t="s">
        <v>117</v>
      </c>
      <c r="C91" s="56">
        <v>2000</v>
      </c>
      <c r="D91" s="521"/>
      <c r="E91" s="521"/>
      <c r="F91" s="521"/>
      <c r="G91" s="438"/>
      <c r="H91" s="521"/>
      <c r="I91" s="521"/>
    </row>
    <row r="92" spans="1:9" ht="51" x14ac:dyDescent="0.25">
      <c r="A92" s="124"/>
      <c r="B92" s="51" t="s">
        <v>671</v>
      </c>
      <c r="C92" s="56"/>
      <c r="D92" s="521"/>
      <c r="E92" s="521" t="s">
        <v>672</v>
      </c>
      <c r="F92" s="521">
        <v>465</v>
      </c>
      <c r="G92" s="438" t="s">
        <v>673</v>
      </c>
      <c r="H92" s="521"/>
      <c r="I92" s="521"/>
    </row>
    <row r="93" spans="1:9" x14ac:dyDescent="0.25">
      <c r="A93" s="124"/>
      <c r="B93" s="51"/>
      <c r="C93" s="56"/>
      <c r="D93" s="521"/>
      <c r="E93" s="521"/>
      <c r="F93" s="521"/>
      <c r="G93" s="438"/>
      <c r="H93" s="521"/>
      <c r="I93" s="521"/>
    </row>
    <row r="94" spans="1:9" ht="25.5" x14ac:dyDescent="0.25">
      <c r="A94" s="469"/>
      <c r="B94" s="440" t="s">
        <v>430</v>
      </c>
      <c r="C94" s="441"/>
      <c r="D94" s="523">
        <v>500</v>
      </c>
      <c r="E94" s="523"/>
      <c r="F94" s="523">
        <f>SUM(F92:F93)</f>
        <v>465</v>
      </c>
      <c r="G94" s="443"/>
      <c r="H94" s="524">
        <f>D94-F94</f>
        <v>35</v>
      </c>
      <c r="I94" s="523"/>
    </row>
    <row r="95" spans="1:9" x14ac:dyDescent="0.25">
      <c r="A95" s="94"/>
      <c r="B95" s="457" t="s">
        <v>118</v>
      </c>
      <c r="C95" s="97">
        <f>SUM(C79:C91)</f>
        <v>49680</v>
      </c>
      <c r="D95" s="528">
        <f>SUM(D94,D90,D86,D82)</f>
        <v>12420</v>
      </c>
      <c r="E95" s="528"/>
      <c r="F95" s="528">
        <f>SUM(F94,F90,F86,F82)</f>
        <v>11835</v>
      </c>
      <c r="G95" s="455"/>
      <c r="H95" s="529">
        <f>D95-F95</f>
        <v>585</v>
      </c>
      <c r="I95" s="528"/>
    </row>
    <row r="96" spans="1:9" ht="38.25" x14ac:dyDescent="0.25">
      <c r="A96" s="445">
        <v>2.2000000000000002</v>
      </c>
      <c r="B96" s="452" t="s">
        <v>119</v>
      </c>
      <c r="C96" s="363"/>
      <c r="D96" s="525"/>
      <c r="E96" s="525"/>
      <c r="F96" s="525"/>
      <c r="G96" s="447"/>
      <c r="H96" s="525"/>
      <c r="I96" s="525"/>
    </row>
    <row r="97" spans="1:9" x14ac:dyDescent="0.25">
      <c r="A97" s="124" t="s">
        <v>120</v>
      </c>
      <c r="B97" s="51" t="s">
        <v>121</v>
      </c>
      <c r="C97" s="56">
        <v>5000</v>
      </c>
      <c r="D97" s="521"/>
      <c r="E97" s="521"/>
      <c r="F97" s="521"/>
      <c r="G97" s="438"/>
      <c r="H97" s="521"/>
      <c r="I97" s="521"/>
    </row>
    <row r="98" spans="1:9" ht="63.75" x14ac:dyDescent="0.25">
      <c r="A98" s="124"/>
      <c r="B98" s="51" t="s">
        <v>741</v>
      </c>
      <c r="C98" s="56"/>
      <c r="D98" s="521"/>
      <c r="E98" s="521" t="s">
        <v>672</v>
      </c>
      <c r="F98" s="521">
        <v>190</v>
      </c>
      <c r="G98" s="438" t="s">
        <v>678</v>
      </c>
      <c r="H98" s="521"/>
      <c r="I98" s="521"/>
    </row>
    <row r="99" spans="1:9" ht="59.25" customHeight="1" x14ac:dyDescent="0.25">
      <c r="A99" s="124"/>
      <c r="B99" s="51" t="s">
        <v>682</v>
      </c>
      <c r="C99" s="56"/>
      <c r="D99" s="521"/>
      <c r="E99" s="521" t="s">
        <v>668</v>
      </c>
      <c r="F99" s="521">
        <v>2250</v>
      </c>
      <c r="G99" s="438" t="s">
        <v>681</v>
      </c>
      <c r="H99" s="521"/>
      <c r="I99" s="521"/>
    </row>
    <row r="100" spans="1:9" x14ac:dyDescent="0.25">
      <c r="A100" s="469"/>
      <c r="B100" s="440" t="s">
        <v>431</v>
      </c>
      <c r="C100" s="441"/>
      <c r="D100" s="523">
        <v>2500</v>
      </c>
      <c r="E100" s="523"/>
      <c r="F100" s="523">
        <f>SUM(F98:F99)</f>
        <v>2440</v>
      </c>
      <c r="G100" s="443"/>
      <c r="H100" s="524">
        <f>D100-F100</f>
        <v>60</v>
      </c>
      <c r="I100" s="523"/>
    </row>
    <row r="101" spans="1:9" ht="25.5" x14ac:dyDescent="0.25">
      <c r="A101" s="124" t="s">
        <v>122</v>
      </c>
      <c r="B101" s="51" t="s">
        <v>123</v>
      </c>
      <c r="C101" s="56">
        <v>9840</v>
      </c>
      <c r="D101" s="521"/>
      <c r="E101" s="521"/>
      <c r="F101" s="521"/>
      <c r="G101" s="438"/>
      <c r="H101" s="521"/>
      <c r="I101" s="521"/>
    </row>
    <row r="102" spans="1:9" ht="63.75" x14ac:dyDescent="0.25">
      <c r="A102" s="124"/>
      <c r="B102" s="51" t="s">
        <v>742</v>
      </c>
      <c r="C102" s="56"/>
      <c r="D102" s="521"/>
      <c r="E102" s="521" t="s">
        <v>672</v>
      </c>
      <c r="F102" s="521">
        <v>4440</v>
      </c>
      <c r="G102" s="438" t="s">
        <v>675</v>
      </c>
      <c r="H102" s="521"/>
      <c r="I102" s="521"/>
    </row>
    <row r="103" spans="1:9" x14ac:dyDescent="0.25">
      <c r="A103" s="124"/>
      <c r="B103" s="51"/>
      <c r="C103" s="56"/>
      <c r="D103" s="521"/>
      <c r="E103" s="521"/>
      <c r="F103" s="521"/>
      <c r="G103" s="438"/>
      <c r="H103" s="521"/>
      <c r="I103" s="521"/>
    </row>
    <row r="104" spans="1:9" x14ac:dyDescent="0.25">
      <c r="A104" s="469"/>
      <c r="B104" s="440" t="s">
        <v>432</v>
      </c>
      <c r="C104" s="441"/>
      <c r="D104" s="523">
        <v>4920</v>
      </c>
      <c r="E104" s="523"/>
      <c r="F104" s="523">
        <f>SUM(F102:F103)</f>
        <v>4440</v>
      </c>
      <c r="G104" s="443"/>
      <c r="H104" s="524">
        <f>D104-F104</f>
        <v>480</v>
      </c>
      <c r="I104" s="523"/>
    </row>
    <row r="105" spans="1:9" ht="25.5" x14ac:dyDescent="0.25">
      <c r="A105" s="124" t="s">
        <v>124</v>
      </c>
      <c r="B105" s="51" t="s">
        <v>125</v>
      </c>
      <c r="C105" s="56">
        <v>10000</v>
      </c>
      <c r="D105" s="521"/>
      <c r="E105" s="521"/>
      <c r="F105" s="521"/>
      <c r="G105" s="438"/>
      <c r="H105" s="521"/>
      <c r="I105" s="521"/>
    </row>
    <row r="106" spans="1:9" ht="63.75" x14ac:dyDescent="0.25">
      <c r="A106" s="124"/>
      <c r="B106" s="51" t="s">
        <v>743</v>
      </c>
      <c r="C106" s="56"/>
      <c r="D106" s="521"/>
      <c r="E106" s="521" t="s">
        <v>668</v>
      </c>
      <c r="F106" s="521">
        <v>5000</v>
      </c>
      <c r="G106" s="438" t="s">
        <v>679</v>
      </c>
      <c r="H106" s="521"/>
      <c r="I106" s="521"/>
    </row>
    <row r="107" spans="1:9" x14ac:dyDescent="0.25">
      <c r="A107" s="124"/>
      <c r="B107" s="51"/>
      <c r="C107" s="56"/>
      <c r="D107" s="521"/>
      <c r="E107" s="521"/>
      <c r="F107" s="521"/>
      <c r="G107" s="438"/>
      <c r="H107" s="521"/>
      <c r="I107" s="521"/>
    </row>
    <row r="108" spans="1:9" x14ac:dyDescent="0.25">
      <c r="A108" s="469"/>
      <c r="B108" s="440" t="s">
        <v>433</v>
      </c>
      <c r="C108" s="441"/>
      <c r="D108" s="523">
        <v>5000</v>
      </c>
      <c r="E108" s="523"/>
      <c r="F108" s="523">
        <f>SUM(F106:F107)</f>
        <v>5000</v>
      </c>
      <c r="G108" s="443"/>
      <c r="H108" s="524">
        <f>D108-F108</f>
        <v>0</v>
      </c>
      <c r="I108" s="523"/>
    </row>
    <row r="109" spans="1:9" x14ac:dyDescent="0.25">
      <c r="A109" s="124" t="s">
        <v>127</v>
      </c>
      <c r="B109" s="51" t="s">
        <v>117</v>
      </c>
      <c r="C109" s="56">
        <v>1000</v>
      </c>
      <c r="D109" s="521"/>
      <c r="E109" s="521"/>
      <c r="F109" s="521"/>
      <c r="G109" s="438"/>
      <c r="H109" s="521"/>
      <c r="I109" s="521"/>
    </row>
    <row r="110" spans="1:9" ht="63.75" x14ac:dyDescent="0.25">
      <c r="A110" s="124"/>
      <c r="B110" s="51" t="s">
        <v>744</v>
      </c>
      <c r="C110" s="56"/>
      <c r="D110" s="521"/>
      <c r="E110" s="521" t="s">
        <v>672</v>
      </c>
      <c r="F110" s="521">
        <v>527</v>
      </c>
      <c r="G110" s="438" t="s">
        <v>673</v>
      </c>
      <c r="H110" s="521"/>
      <c r="I110" s="521"/>
    </row>
    <row r="111" spans="1:9" x14ac:dyDescent="0.25">
      <c r="A111" s="124"/>
      <c r="B111" s="51"/>
      <c r="C111" s="56"/>
      <c r="D111" s="521"/>
      <c r="E111" s="521"/>
      <c r="F111" s="521"/>
      <c r="G111" s="438"/>
      <c r="H111" s="521"/>
      <c r="I111" s="521"/>
    </row>
    <row r="112" spans="1:9" x14ac:dyDescent="0.25">
      <c r="A112" s="469"/>
      <c r="B112" s="440" t="s">
        <v>434</v>
      </c>
      <c r="C112" s="441"/>
      <c r="D112" s="523">
        <v>500</v>
      </c>
      <c r="E112" s="523"/>
      <c r="F112" s="523">
        <f>SUM(F110:F111)</f>
        <v>527</v>
      </c>
      <c r="G112" s="443"/>
      <c r="H112" s="524">
        <f>D112-F112</f>
        <v>-27</v>
      </c>
      <c r="I112" s="523"/>
    </row>
    <row r="113" spans="1:9" x14ac:dyDescent="0.25">
      <c r="A113" s="94"/>
      <c r="B113" s="457" t="s">
        <v>128</v>
      </c>
      <c r="C113" s="97">
        <f>SUM(C97:C109)</f>
        <v>25840</v>
      </c>
      <c r="D113" s="528">
        <f>SUM(D112,D108,D104,D100)</f>
        <v>12920</v>
      </c>
      <c r="E113" s="528"/>
      <c r="F113" s="528">
        <f>SUM(F112,F108,F104,F100)</f>
        <v>12407</v>
      </c>
      <c r="G113" s="455"/>
      <c r="H113" s="529">
        <f>D113-F113</f>
        <v>513</v>
      </c>
      <c r="I113" s="528"/>
    </row>
    <row r="114" spans="1:9" ht="25.5" x14ac:dyDescent="0.25">
      <c r="A114" s="445">
        <v>2.2999999999999998</v>
      </c>
      <c r="B114" s="452" t="s">
        <v>129</v>
      </c>
      <c r="C114" s="363"/>
      <c r="D114" s="525"/>
      <c r="E114" s="525"/>
      <c r="F114" s="525"/>
      <c r="G114" s="447"/>
      <c r="H114" s="525"/>
      <c r="I114" s="525"/>
    </row>
    <row r="115" spans="1:9" x14ac:dyDescent="0.25">
      <c r="A115" s="124" t="s">
        <v>130</v>
      </c>
      <c r="B115" s="51" t="s">
        <v>121</v>
      </c>
      <c r="C115" s="56">
        <v>5000</v>
      </c>
      <c r="D115" s="521"/>
      <c r="E115" s="521"/>
      <c r="F115" s="521"/>
      <c r="G115" s="438"/>
      <c r="H115" s="521"/>
      <c r="I115" s="521"/>
    </row>
    <row r="116" spans="1:9" ht="63.75" x14ac:dyDescent="0.25">
      <c r="A116" s="124"/>
      <c r="B116" s="51" t="s">
        <v>745</v>
      </c>
      <c r="C116" s="56"/>
      <c r="D116" s="521"/>
      <c r="E116" s="521" t="s">
        <v>672</v>
      </c>
      <c r="F116" s="521">
        <v>210</v>
      </c>
      <c r="G116" s="438" t="s">
        <v>678</v>
      </c>
      <c r="H116" s="521"/>
      <c r="I116" s="521"/>
    </row>
    <row r="117" spans="1:9" ht="63.75" x14ac:dyDescent="0.25">
      <c r="A117" s="124"/>
      <c r="B117" s="51" t="s">
        <v>683</v>
      </c>
      <c r="C117" s="56"/>
      <c r="D117" s="521"/>
      <c r="E117" s="521" t="s">
        <v>684</v>
      </c>
      <c r="F117" s="521">
        <v>2250</v>
      </c>
      <c r="G117" s="438" t="s">
        <v>681</v>
      </c>
      <c r="H117" s="521"/>
      <c r="I117" s="521"/>
    </row>
    <row r="118" spans="1:9" x14ac:dyDescent="0.25">
      <c r="A118" s="469"/>
      <c r="B118" s="440" t="s">
        <v>435</v>
      </c>
      <c r="C118" s="441"/>
      <c r="D118" s="523">
        <v>2500</v>
      </c>
      <c r="E118" s="523"/>
      <c r="F118" s="523">
        <f>SUM(F116:F117)</f>
        <v>2460</v>
      </c>
      <c r="G118" s="443"/>
      <c r="H118" s="524">
        <f>D118-F118</f>
        <v>40</v>
      </c>
      <c r="I118" s="523"/>
    </row>
    <row r="119" spans="1:9" ht="30.75" customHeight="1" x14ac:dyDescent="0.25">
      <c r="A119" s="124" t="s">
        <v>132</v>
      </c>
      <c r="B119" s="51" t="s">
        <v>133</v>
      </c>
      <c r="C119" s="56">
        <v>6480</v>
      </c>
      <c r="D119" s="521"/>
      <c r="E119" s="521"/>
      <c r="F119" s="521"/>
      <c r="G119" s="438"/>
      <c r="H119" s="521"/>
      <c r="I119" s="521"/>
    </row>
    <row r="120" spans="1:9" ht="63.75" customHeight="1" x14ac:dyDescent="0.25">
      <c r="A120" s="124"/>
      <c r="B120" s="51" t="s">
        <v>746</v>
      </c>
      <c r="C120" s="56"/>
      <c r="D120" s="521"/>
      <c r="E120" s="521" t="s">
        <v>674</v>
      </c>
      <c r="F120" s="521">
        <v>3120</v>
      </c>
      <c r="G120" s="438" t="s">
        <v>675</v>
      </c>
      <c r="H120" s="521"/>
      <c r="I120" s="521"/>
    </row>
    <row r="121" spans="1:9" x14ac:dyDescent="0.25">
      <c r="A121" s="124"/>
      <c r="B121" s="51"/>
      <c r="C121" s="56"/>
      <c r="D121" s="521"/>
      <c r="E121" s="521"/>
      <c r="F121" s="521"/>
      <c r="G121" s="438"/>
      <c r="H121" s="521"/>
      <c r="I121" s="521"/>
    </row>
    <row r="122" spans="1:9" x14ac:dyDescent="0.25">
      <c r="A122" s="469"/>
      <c r="B122" s="440" t="s">
        <v>436</v>
      </c>
      <c r="C122" s="441"/>
      <c r="D122" s="523">
        <v>3240</v>
      </c>
      <c r="E122" s="523"/>
      <c r="F122" s="523">
        <f>SUM(F120:F121)</f>
        <v>3120</v>
      </c>
      <c r="G122" s="443"/>
      <c r="H122" s="524">
        <f>D122-F122</f>
        <v>120</v>
      </c>
      <c r="I122" s="523"/>
    </row>
    <row r="123" spans="1:9" ht="30" customHeight="1" x14ac:dyDescent="0.25">
      <c r="A123" s="124" t="s">
        <v>135</v>
      </c>
      <c r="B123" s="51" t="s">
        <v>136</v>
      </c>
      <c r="C123" s="56">
        <v>10000</v>
      </c>
      <c r="D123" s="521"/>
      <c r="E123" s="521"/>
      <c r="F123" s="521"/>
      <c r="G123" s="438"/>
      <c r="H123" s="521"/>
      <c r="I123" s="521"/>
    </row>
    <row r="124" spans="1:9" ht="64.5" customHeight="1" x14ac:dyDescent="0.25">
      <c r="A124" s="124"/>
      <c r="B124" s="51" t="s">
        <v>747</v>
      </c>
      <c r="C124" s="56"/>
      <c r="D124" s="521"/>
      <c r="E124" s="521" t="s">
        <v>668</v>
      </c>
      <c r="F124" s="521">
        <v>5000</v>
      </c>
      <c r="G124" s="438" t="s">
        <v>679</v>
      </c>
      <c r="H124" s="521"/>
      <c r="I124" s="521"/>
    </row>
    <row r="125" spans="1:9" x14ac:dyDescent="0.25">
      <c r="A125" s="124"/>
      <c r="B125" s="51"/>
      <c r="C125" s="56"/>
      <c r="D125" s="521"/>
      <c r="E125" s="521"/>
      <c r="F125" s="521"/>
      <c r="G125" s="438"/>
      <c r="H125" s="521"/>
      <c r="I125" s="521"/>
    </row>
    <row r="126" spans="1:9" x14ac:dyDescent="0.25">
      <c r="A126" s="469"/>
      <c r="B126" s="440" t="s">
        <v>437</v>
      </c>
      <c r="C126" s="441"/>
      <c r="D126" s="523">
        <v>5000</v>
      </c>
      <c r="E126" s="523"/>
      <c r="F126" s="523">
        <f>SUM(F124:F125)</f>
        <v>5000</v>
      </c>
      <c r="G126" s="443"/>
      <c r="H126" s="524">
        <f>D126-F126</f>
        <v>0</v>
      </c>
      <c r="I126" s="523"/>
    </row>
    <row r="127" spans="1:9" x14ac:dyDescent="0.25">
      <c r="A127" s="124" t="s">
        <v>139</v>
      </c>
      <c r="B127" s="51" t="s">
        <v>77</v>
      </c>
      <c r="C127" s="56">
        <v>1000</v>
      </c>
      <c r="D127" s="521"/>
      <c r="E127" s="521"/>
      <c r="F127" s="521"/>
      <c r="G127" s="438"/>
      <c r="H127" s="521"/>
      <c r="I127" s="521"/>
    </row>
    <row r="128" spans="1:9" ht="63.75" x14ac:dyDescent="0.25">
      <c r="A128" s="124"/>
      <c r="B128" s="51" t="s">
        <v>748</v>
      </c>
      <c r="C128" s="56"/>
      <c r="D128" s="521"/>
      <c r="E128" s="521" t="s">
        <v>672</v>
      </c>
      <c r="F128" s="521">
        <v>400</v>
      </c>
      <c r="G128" s="438" t="s">
        <v>673</v>
      </c>
      <c r="H128" s="521"/>
      <c r="I128" s="521"/>
    </row>
    <row r="129" spans="1:9" x14ac:dyDescent="0.25">
      <c r="A129" s="124"/>
      <c r="B129" s="51"/>
      <c r="C129" s="56"/>
      <c r="D129" s="521"/>
      <c r="E129" s="521"/>
      <c r="F129" s="521"/>
      <c r="G129" s="438"/>
      <c r="H129" s="521"/>
      <c r="I129" s="521"/>
    </row>
    <row r="130" spans="1:9" x14ac:dyDescent="0.25">
      <c r="A130" s="469"/>
      <c r="B130" s="440" t="s">
        <v>438</v>
      </c>
      <c r="C130" s="441"/>
      <c r="D130" s="523">
        <v>500</v>
      </c>
      <c r="E130" s="523"/>
      <c r="F130" s="523">
        <f>SUM(F128:F129)</f>
        <v>400</v>
      </c>
      <c r="G130" s="443"/>
      <c r="H130" s="524">
        <f>D130-F130</f>
        <v>100</v>
      </c>
      <c r="I130" s="523"/>
    </row>
    <row r="131" spans="1:9" x14ac:dyDescent="0.25">
      <c r="A131" s="94"/>
      <c r="B131" s="457" t="s">
        <v>141</v>
      </c>
      <c r="C131" s="97">
        <f>SUM(C115:C127)</f>
        <v>22480</v>
      </c>
      <c r="D131" s="528">
        <f>SUM(D130,D126,D122,D118)</f>
        <v>11240</v>
      </c>
      <c r="E131" s="528"/>
      <c r="F131" s="528">
        <f>SUM(F130,F126,F122,F118)</f>
        <v>10980</v>
      </c>
      <c r="G131" s="455"/>
      <c r="H131" s="529">
        <f>D131-F131</f>
        <v>260</v>
      </c>
      <c r="I131" s="528"/>
    </row>
    <row r="132" spans="1:9" ht="25.5" x14ac:dyDescent="0.25">
      <c r="A132" s="445">
        <v>2.4</v>
      </c>
      <c r="B132" s="452" t="s">
        <v>142</v>
      </c>
      <c r="C132" s="363"/>
      <c r="D132" s="525"/>
      <c r="E132" s="525"/>
      <c r="F132" s="525"/>
      <c r="G132" s="447"/>
      <c r="H132" s="525"/>
      <c r="I132" s="525"/>
    </row>
    <row r="133" spans="1:9" x14ac:dyDescent="0.25">
      <c r="A133" s="124" t="s">
        <v>143</v>
      </c>
      <c r="B133" s="51" t="s">
        <v>121</v>
      </c>
      <c r="C133" s="56">
        <v>5000</v>
      </c>
      <c r="D133" s="521"/>
      <c r="E133" s="521"/>
      <c r="F133" s="521"/>
      <c r="G133" s="438"/>
      <c r="H133" s="521"/>
      <c r="I133" s="521"/>
    </row>
    <row r="134" spans="1:9" x14ac:dyDescent="0.25">
      <c r="A134" s="124"/>
      <c r="B134" s="51"/>
      <c r="C134" s="56"/>
      <c r="D134" s="521"/>
      <c r="E134" s="521"/>
      <c r="F134" s="521"/>
      <c r="G134" s="438"/>
      <c r="H134" s="521"/>
      <c r="I134" s="521"/>
    </row>
    <row r="135" spans="1:9" x14ac:dyDescent="0.25">
      <c r="A135" s="469"/>
      <c r="B135" s="440" t="s">
        <v>443</v>
      </c>
      <c r="C135" s="441"/>
      <c r="D135" s="523">
        <v>0</v>
      </c>
      <c r="E135" s="523"/>
      <c r="F135" s="523">
        <f>SUM(F134:F134)</f>
        <v>0</v>
      </c>
      <c r="G135" s="443"/>
      <c r="H135" s="524">
        <f>D135-F135</f>
        <v>0</v>
      </c>
      <c r="I135" s="523"/>
    </row>
    <row r="136" spans="1:9" x14ac:dyDescent="0.25">
      <c r="A136" s="124" t="s">
        <v>144</v>
      </c>
      <c r="B136" s="51" t="s">
        <v>145</v>
      </c>
      <c r="C136" s="56">
        <v>9840</v>
      </c>
      <c r="D136" s="521"/>
      <c r="E136" s="521"/>
      <c r="F136" s="521"/>
      <c r="G136" s="438"/>
      <c r="H136" s="521"/>
      <c r="I136" s="521"/>
    </row>
    <row r="137" spans="1:9" x14ac:dyDescent="0.25">
      <c r="A137" s="124"/>
      <c r="B137" s="51"/>
      <c r="C137" s="56"/>
      <c r="D137" s="521"/>
      <c r="E137" s="521"/>
      <c r="F137" s="521"/>
      <c r="G137" s="438"/>
      <c r="H137" s="521"/>
      <c r="I137" s="521"/>
    </row>
    <row r="138" spans="1:9" x14ac:dyDescent="0.25">
      <c r="A138" s="469"/>
      <c r="B138" s="440" t="s">
        <v>445</v>
      </c>
      <c r="C138" s="441"/>
      <c r="D138" s="523">
        <v>0</v>
      </c>
      <c r="E138" s="523"/>
      <c r="F138" s="523">
        <f>SUM(F137:F137)</f>
        <v>0</v>
      </c>
      <c r="G138" s="443"/>
      <c r="H138" s="524">
        <f>D138-F138</f>
        <v>0</v>
      </c>
      <c r="I138" s="523"/>
    </row>
    <row r="139" spans="1:9" ht="25.5" x14ac:dyDescent="0.25">
      <c r="A139" s="124" t="s">
        <v>146</v>
      </c>
      <c r="B139" s="51" t="s">
        <v>147</v>
      </c>
      <c r="C139" s="56">
        <v>10000</v>
      </c>
      <c r="D139" s="521"/>
      <c r="E139" s="521"/>
      <c r="F139" s="521"/>
      <c r="G139" s="438"/>
      <c r="H139" s="521"/>
      <c r="I139" s="521"/>
    </row>
    <row r="140" spans="1:9" ht="69" customHeight="1" x14ac:dyDescent="0.25">
      <c r="A140" s="124"/>
      <c r="B140" s="51" t="s">
        <v>626</v>
      </c>
      <c r="C140" s="56"/>
      <c r="D140" s="521"/>
      <c r="E140" s="521" t="s">
        <v>622</v>
      </c>
      <c r="F140" s="521">
        <v>5000</v>
      </c>
      <c r="G140" s="438" t="s">
        <v>627</v>
      </c>
      <c r="H140" s="521"/>
      <c r="I140" s="521"/>
    </row>
    <row r="141" spans="1:9" x14ac:dyDescent="0.25">
      <c r="A141" s="124"/>
      <c r="B141" s="51"/>
      <c r="C141" s="56"/>
      <c r="D141" s="521"/>
      <c r="E141" s="521"/>
      <c r="F141" s="521"/>
      <c r="G141" s="438"/>
      <c r="H141" s="521"/>
      <c r="I141" s="521"/>
    </row>
    <row r="142" spans="1:9" x14ac:dyDescent="0.25">
      <c r="A142" s="469"/>
      <c r="B142" s="440" t="s">
        <v>446</v>
      </c>
      <c r="C142" s="441"/>
      <c r="D142" s="523">
        <v>0</v>
      </c>
      <c r="E142" s="523"/>
      <c r="F142" s="523">
        <f>SUM(F140:F141)</f>
        <v>5000</v>
      </c>
      <c r="G142" s="443"/>
      <c r="H142" s="524">
        <f>D142-F142</f>
        <v>-5000</v>
      </c>
      <c r="I142" s="523"/>
    </row>
    <row r="143" spans="1:9" x14ac:dyDescent="0.25">
      <c r="A143" s="124" t="s">
        <v>148</v>
      </c>
      <c r="B143" s="51" t="s">
        <v>77</v>
      </c>
      <c r="C143" s="56">
        <v>1000</v>
      </c>
      <c r="D143" s="521"/>
      <c r="E143" s="521"/>
      <c r="F143" s="521"/>
      <c r="G143" s="438"/>
      <c r="H143" s="521"/>
      <c r="I143" s="521"/>
    </row>
    <row r="144" spans="1:9" ht="15" customHeight="1" x14ac:dyDescent="0.25">
      <c r="A144" s="124"/>
      <c r="B144" s="51"/>
      <c r="C144" s="56"/>
      <c r="D144" s="521"/>
      <c r="E144" s="521"/>
      <c r="F144" s="521"/>
      <c r="G144" s="438"/>
      <c r="H144" s="521"/>
      <c r="I144" s="521"/>
    </row>
    <row r="145" spans="1:9" ht="25.5" x14ac:dyDescent="0.25">
      <c r="A145" s="469"/>
      <c r="B145" s="440" t="s">
        <v>449</v>
      </c>
      <c r="C145" s="441"/>
      <c r="D145" s="523">
        <v>0</v>
      </c>
      <c r="E145" s="523"/>
      <c r="F145" s="523">
        <f>SUM(F144:F144)</f>
        <v>0</v>
      </c>
      <c r="G145" s="443"/>
      <c r="H145" s="524">
        <f>D145-F145</f>
        <v>0</v>
      </c>
      <c r="I145" s="523"/>
    </row>
    <row r="146" spans="1:9" x14ac:dyDescent="0.25">
      <c r="A146" s="94"/>
      <c r="B146" s="457" t="s">
        <v>149</v>
      </c>
      <c r="C146" s="97">
        <f>SUM(C133:C143)</f>
        <v>25840</v>
      </c>
      <c r="D146" s="528">
        <f>SUM(D145,D142,D138,D135)</f>
        <v>0</v>
      </c>
      <c r="E146" s="528"/>
      <c r="F146" s="528">
        <f>SUM(F145,F142,F138,F135)</f>
        <v>5000</v>
      </c>
      <c r="G146" s="455"/>
      <c r="H146" s="529">
        <f>D146-F146</f>
        <v>-5000</v>
      </c>
      <c r="I146" s="528"/>
    </row>
    <row r="147" spans="1:9" ht="38.25" x14ac:dyDescent="0.25">
      <c r="A147" s="445">
        <v>2.5</v>
      </c>
      <c r="B147" s="452" t="s">
        <v>150</v>
      </c>
      <c r="C147" s="363"/>
      <c r="D147" s="525"/>
      <c r="E147" s="525"/>
      <c r="F147" s="525"/>
      <c r="G147" s="447"/>
      <c r="H147" s="525"/>
      <c r="I147" s="525"/>
    </row>
    <row r="148" spans="1:9" ht="29.25" customHeight="1" x14ac:dyDescent="0.25">
      <c r="A148" s="124" t="s">
        <v>151</v>
      </c>
      <c r="B148" s="51" t="s">
        <v>152</v>
      </c>
      <c r="C148" s="56">
        <v>0</v>
      </c>
      <c r="D148" s="521"/>
      <c r="E148" s="521"/>
      <c r="F148" s="521"/>
      <c r="G148" s="438"/>
      <c r="H148" s="521"/>
      <c r="I148" s="521"/>
    </row>
    <row r="149" spans="1:9" x14ac:dyDescent="0.25">
      <c r="A149" s="124"/>
      <c r="B149" s="51"/>
      <c r="C149" s="56"/>
      <c r="D149" s="521"/>
      <c r="E149" s="521"/>
      <c r="F149" s="521"/>
      <c r="G149" s="438"/>
      <c r="H149" s="521"/>
      <c r="I149" s="521"/>
    </row>
    <row r="150" spans="1:9" x14ac:dyDescent="0.25">
      <c r="A150" s="469"/>
      <c r="B150" s="440" t="s">
        <v>450</v>
      </c>
      <c r="C150" s="441"/>
      <c r="D150" s="523">
        <v>0</v>
      </c>
      <c r="E150" s="523"/>
      <c r="F150" s="523">
        <f>SUM(F149:F149)</f>
        <v>0</v>
      </c>
      <c r="G150" s="443"/>
      <c r="H150" s="524">
        <f>D150-F150</f>
        <v>0</v>
      </c>
      <c r="I150" s="523"/>
    </row>
    <row r="151" spans="1:9" ht="33" customHeight="1" x14ac:dyDescent="0.25">
      <c r="A151" s="124" t="s">
        <v>153</v>
      </c>
      <c r="B151" s="51" t="s">
        <v>154</v>
      </c>
      <c r="C151" s="56">
        <v>14760</v>
      </c>
      <c r="D151" s="521"/>
      <c r="E151" s="521"/>
      <c r="F151" s="521"/>
      <c r="G151" s="438"/>
      <c r="H151" s="521"/>
      <c r="I151" s="521"/>
    </row>
    <row r="152" spans="1:9" x14ac:dyDescent="0.25">
      <c r="A152" s="124"/>
      <c r="B152" s="51"/>
      <c r="C152" s="56"/>
      <c r="D152" s="521"/>
      <c r="E152" s="521"/>
      <c r="F152" s="521"/>
      <c r="G152" s="438"/>
      <c r="H152" s="521"/>
      <c r="I152" s="521"/>
    </row>
    <row r="153" spans="1:9" x14ac:dyDescent="0.25">
      <c r="A153" s="469"/>
      <c r="B153" s="440" t="s">
        <v>453</v>
      </c>
      <c r="C153" s="441"/>
      <c r="D153" s="523">
        <v>0</v>
      </c>
      <c r="E153" s="523"/>
      <c r="F153" s="523">
        <f>SUM(F152:F152)</f>
        <v>0</v>
      </c>
      <c r="G153" s="443"/>
      <c r="H153" s="524">
        <f>D153-F153</f>
        <v>0</v>
      </c>
      <c r="I153" s="523"/>
    </row>
    <row r="154" spans="1:9" ht="25.5" x14ac:dyDescent="0.25">
      <c r="A154" s="124" t="s">
        <v>156</v>
      </c>
      <c r="B154" s="51" t="s">
        <v>157</v>
      </c>
      <c r="C154" s="56">
        <v>15000</v>
      </c>
      <c r="D154" s="521"/>
      <c r="E154" s="521"/>
      <c r="F154" s="521"/>
      <c r="G154" s="438"/>
      <c r="H154" s="521"/>
      <c r="I154" s="521"/>
    </row>
    <row r="155" spans="1:9" x14ac:dyDescent="0.25">
      <c r="A155" s="124"/>
      <c r="B155" s="51"/>
      <c r="C155" s="56"/>
      <c r="D155" s="521"/>
      <c r="E155" s="521"/>
      <c r="F155" s="521"/>
      <c r="G155" s="438"/>
      <c r="H155" s="521"/>
      <c r="I155" s="521"/>
    </row>
    <row r="156" spans="1:9" x14ac:dyDescent="0.25">
      <c r="A156" s="469"/>
      <c r="B156" s="440" t="s">
        <v>457</v>
      </c>
      <c r="C156" s="441"/>
      <c r="D156" s="523">
        <v>0</v>
      </c>
      <c r="E156" s="523"/>
      <c r="F156" s="523">
        <f>SUM(F155:F155)</f>
        <v>0</v>
      </c>
      <c r="G156" s="443"/>
      <c r="H156" s="524">
        <f>D156-F156</f>
        <v>0</v>
      </c>
      <c r="I156" s="523"/>
    </row>
    <row r="157" spans="1:9" x14ac:dyDescent="0.25">
      <c r="A157" s="124" t="s">
        <v>159</v>
      </c>
      <c r="B157" s="51" t="s">
        <v>160</v>
      </c>
      <c r="C157" s="56">
        <v>1500</v>
      </c>
      <c r="D157" s="521"/>
      <c r="E157" s="521"/>
      <c r="F157" s="521"/>
      <c r="G157" s="438"/>
      <c r="H157" s="521"/>
      <c r="I157" s="521"/>
    </row>
    <row r="158" spans="1:9" x14ac:dyDescent="0.25">
      <c r="A158" s="124"/>
      <c r="B158" s="51"/>
      <c r="C158" s="56"/>
      <c r="D158" s="521"/>
      <c r="E158" s="521"/>
      <c r="F158" s="521"/>
      <c r="G158" s="438"/>
      <c r="H158" s="521"/>
      <c r="I158" s="521"/>
    </row>
    <row r="159" spans="1:9" x14ac:dyDescent="0.25">
      <c r="A159" s="469"/>
      <c r="B159" s="440" t="s">
        <v>459</v>
      </c>
      <c r="C159" s="441"/>
      <c r="D159" s="523">
        <v>0</v>
      </c>
      <c r="E159" s="523"/>
      <c r="F159" s="523">
        <f>F158</f>
        <v>0</v>
      </c>
      <c r="G159" s="443"/>
      <c r="H159" s="524">
        <f>D159-F159</f>
        <v>0</v>
      </c>
      <c r="I159" s="523"/>
    </row>
    <row r="160" spans="1:9" x14ac:dyDescent="0.25">
      <c r="A160" s="94"/>
      <c r="B160" s="457" t="s">
        <v>162</v>
      </c>
      <c r="C160" s="97">
        <f>SUM(C148:C157)</f>
        <v>31260</v>
      </c>
      <c r="D160" s="528">
        <f>SUM(D159,D156,D153,D150)</f>
        <v>0</v>
      </c>
      <c r="E160" s="528"/>
      <c r="F160" s="528">
        <f>SUM(F159,F156,F153,F150)</f>
        <v>0</v>
      </c>
      <c r="G160" s="455"/>
      <c r="H160" s="529">
        <f>D160-F160</f>
        <v>0</v>
      </c>
      <c r="I160" s="528"/>
    </row>
    <row r="161" spans="1:9" x14ac:dyDescent="0.25">
      <c r="A161" s="445">
        <v>2.6</v>
      </c>
      <c r="B161" s="452" t="s">
        <v>163</v>
      </c>
      <c r="C161" s="363"/>
      <c r="D161" s="525"/>
      <c r="E161" s="525"/>
      <c r="F161" s="525"/>
      <c r="G161" s="447"/>
      <c r="H161" s="525"/>
      <c r="I161" s="525"/>
    </row>
    <row r="162" spans="1:9" x14ac:dyDescent="0.25">
      <c r="A162" s="124" t="s">
        <v>164</v>
      </c>
      <c r="B162" s="51" t="s">
        <v>165</v>
      </c>
      <c r="C162" s="56">
        <v>7200</v>
      </c>
      <c r="D162" s="521"/>
      <c r="E162" s="521"/>
      <c r="F162" s="521"/>
      <c r="G162" s="438"/>
      <c r="H162" s="521"/>
      <c r="I162" s="521"/>
    </row>
    <row r="163" spans="1:9" ht="51" x14ac:dyDescent="0.25">
      <c r="A163" s="124"/>
      <c r="B163" s="51" t="s">
        <v>749</v>
      </c>
      <c r="C163" s="56"/>
      <c r="D163" s="521"/>
      <c r="E163" s="521" t="s">
        <v>714</v>
      </c>
      <c r="F163" s="521">
        <v>3600</v>
      </c>
      <c r="G163" s="438" t="s">
        <v>716</v>
      </c>
      <c r="H163" s="521"/>
      <c r="I163" s="521"/>
    </row>
    <row r="164" spans="1:9" x14ac:dyDescent="0.25">
      <c r="A164" s="124"/>
      <c r="B164" s="51"/>
      <c r="C164" s="56"/>
      <c r="D164" s="521"/>
      <c r="E164" s="521"/>
      <c r="F164" s="521"/>
      <c r="G164" s="438"/>
      <c r="H164" s="521"/>
      <c r="I164" s="521"/>
    </row>
    <row r="165" spans="1:9" x14ac:dyDescent="0.25">
      <c r="A165" s="469"/>
      <c r="B165" s="440" t="s">
        <v>460</v>
      </c>
      <c r="C165" s="441"/>
      <c r="D165" s="523">
        <v>3600</v>
      </c>
      <c r="E165" s="523"/>
      <c r="F165" s="523">
        <f>SUM(F163:F164)</f>
        <v>3600</v>
      </c>
      <c r="G165" s="443"/>
      <c r="H165" s="524">
        <f>D165-F165</f>
        <v>0</v>
      </c>
      <c r="I165" s="523"/>
    </row>
    <row r="166" spans="1:9" ht="30.75" customHeight="1" x14ac:dyDescent="0.25">
      <c r="A166" s="124" t="s">
        <v>167</v>
      </c>
      <c r="B166" s="130" t="s">
        <v>168</v>
      </c>
      <c r="C166" s="56">
        <v>174800</v>
      </c>
      <c r="D166" s="521"/>
      <c r="E166" s="521"/>
      <c r="F166" s="521"/>
      <c r="G166" s="438"/>
      <c r="H166" s="521"/>
      <c r="I166" s="521"/>
    </row>
    <row r="167" spans="1:9" ht="55.5" customHeight="1" x14ac:dyDescent="0.25">
      <c r="A167" s="124"/>
      <c r="B167" s="130" t="s">
        <v>685</v>
      </c>
      <c r="C167" s="56"/>
      <c r="D167" s="521"/>
      <c r="E167" s="521" t="s">
        <v>668</v>
      </c>
      <c r="F167" s="521">
        <v>87399</v>
      </c>
      <c r="G167" s="438" t="s">
        <v>686</v>
      </c>
      <c r="H167" s="521"/>
      <c r="I167" s="521"/>
    </row>
    <row r="168" spans="1:9" x14ac:dyDescent="0.25">
      <c r="A168" s="124"/>
      <c r="B168" s="130"/>
      <c r="C168" s="56"/>
      <c r="D168" s="521"/>
      <c r="E168" s="521"/>
      <c r="F168" s="521"/>
      <c r="G168" s="438"/>
      <c r="H168" s="521"/>
      <c r="I168" s="521"/>
    </row>
    <row r="169" spans="1:9" x14ac:dyDescent="0.25">
      <c r="A169" s="469"/>
      <c r="B169" s="470" t="s">
        <v>461</v>
      </c>
      <c r="C169" s="441"/>
      <c r="D169" s="523">
        <v>87400</v>
      </c>
      <c r="E169" s="523"/>
      <c r="F169" s="523">
        <f>SUM(F167:F168)</f>
        <v>87399</v>
      </c>
      <c r="G169" s="443"/>
      <c r="H169" s="524">
        <f>D169-F169</f>
        <v>1</v>
      </c>
      <c r="I169" s="523"/>
    </row>
    <row r="170" spans="1:9" x14ac:dyDescent="0.25">
      <c r="A170" s="94"/>
      <c r="B170" s="457" t="s">
        <v>170</v>
      </c>
      <c r="C170" s="97">
        <f>SUM(C162:C166)</f>
        <v>182000</v>
      </c>
      <c r="D170" s="528">
        <f>SUM(D169,D165)</f>
        <v>91000</v>
      </c>
      <c r="E170" s="528"/>
      <c r="F170" s="528">
        <f>SUM(F169,F165)</f>
        <v>90999</v>
      </c>
      <c r="G170" s="455"/>
      <c r="H170" s="529">
        <f>D170-F170</f>
        <v>1</v>
      </c>
      <c r="I170" s="528"/>
    </row>
    <row r="171" spans="1:9" x14ac:dyDescent="0.25">
      <c r="A171" s="445">
        <v>2.7</v>
      </c>
      <c r="B171" s="452" t="s">
        <v>171</v>
      </c>
      <c r="C171" s="366"/>
      <c r="D171" s="525"/>
      <c r="E171" s="525"/>
      <c r="F171" s="525"/>
      <c r="G171" s="447"/>
      <c r="H171" s="525"/>
      <c r="I171" s="525"/>
    </row>
    <row r="172" spans="1:9" ht="38.25" x14ac:dyDescent="0.25">
      <c r="A172" s="124" t="s">
        <v>172</v>
      </c>
      <c r="B172" s="51" t="s">
        <v>173</v>
      </c>
      <c r="C172" s="56">
        <v>0</v>
      </c>
      <c r="D172" s="521"/>
      <c r="E172" s="521"/>
      <c r="F172" s="521"/>
      <c r="G172" s="438"/>
      <c r="H172" s="521"/>
      <c r="I172" s="521"/>
    </row>
    <row r="173" spans="1:9" x14ac:dyDescent="0.25">
      <c r="A173" s="124"/>
      <c r="B173" s="51"/>
      <c r="C173" s="56"/>
      <c r="D173" s="521"/>
      <c r="E173" s="521"/>
      <c r="F173" s="521"/>
      <c r="G173" s="438"/>
      <c r="H173" s="521"/>
      <c r="I173" s="521"/>
    </row>
    <row r="174" spans="1:9" x14ac:dyDescent="0.25">
      <c r="A174" s="469"/>
      <c r="B174" s="440" t="s">
        <v>462</v>
      </c>
      <c r="C174" s="441"/>
      <c r="D174" s="523">
        <v>0</v>
      </c>
      <c r="E174" s="523"/>
      <c r="F174" s="523">
        <f>SUM(F173:F173)</f>
        <v>0</v>
      </c>
      <c r="G174" s="443"/>
      <c r="H174" s="524">
        <f>D174-F174</f>
        <v>0</v>
      </c>
      <c r="I174" s="523"/>
    </row>
    <row r="175" spans="1:9" x14ac:dyDescent="0.25">
      <c r="A175" s="124" t="s">
        <v>174</v>
      </c>
      <c r="B175" s="51" t="s">
        <v>175</v>
      </c>
      <c r="C175" s="56">
        <v>0</v>
      </c>
      <c r="D175" s="521"/>
      <c r="E175" s="521"/>
      <c r="F175" s="521"/>
      <c r="G175" s="438"/>
      <c r="H175" s="521"/>
      <c r="I175" s="521"/>
    </row>
    <row r="176" spans="1:9" x14ac:dyDescent="0.25">
      <c r="A176" s="124"/>
      <c r="B176" s="51"/>
      <c r="C176" s="56"/>
      <c r="D176" s="521"/>
      <c r="E176" s="521"/>
      <c r="F176" s="521"/>
      <c r="G176" s="438"/>
      <c r="H176" s="521"/>
      <c r="I176" s="521"/>
    </row>
    <row r="177" spans="1:9" x14ac:dyDescent="0.25">
      <c r="A177" s="469"/>
      <c r="B177" s="440" t="s">
        <v>463</v>
      </c>
      <c r="C177" s="441"/>
      <c r="D177" s="523">
        <v>0</v>
      </c>
      <c r="E177" s="523"/>
      <c r="F177" s="523">
        <f>SUM(F176:F176)</f>
        <v>0</v>
      </c>
      <c r="G177" s="443"/>
      <c r="H177" s="524">
        <f>D177-F177</f>
        <v>0</v>
      </c>
      <c r="I177" s="523"/>
    </row>
    <row r="178" spans="1:9" x14ac:dyDescent="0.25">
      <c r="A178" s="94"/>
      <c r="B178" s="457" t="s">
        <v>176</v>
      </c>
      <c r="C178" s="97">
        <f>SUM(C172:C175)</f>
        <v>0</v>
      </c>
      <c r="D178" s="528">
        <f>SUM(D177,D174)</f>
        <v>0</v>
      </c>
      <c r="E178" s="528"/>
      <c r="F178" s="528">
        <f>SUM(F177,F174)</f>
        <v>0</v>
      </c>
      <c r="G178" s="455"/>
      <c r="H178" s="529">
        <f>D178-F178</f>
        <v>0</v>
      </c>
      <c r="I178" s="528"/>
    </row>
    <row r="179" spans="1:9" x14ac:dyDescent="0.25">
      <c r="A179" s="445">
        <v>2.8</v>
      </c>
      <c r="B179" s="452" t="s">
        <v>182</v>
      </c>
      <c r="C179" s="363"/>
      <c r="D179" s="525"/>
      <c r="E179" s="525"/>
      <c r="F179" s="525"/>
      <c r="G179" s="447"/>
      <c r="H179" s="525"/>
      <c r="I179" s="525"/>
    </row>
    <row r="180" spans="1:9" ht="38.25" x14ac:dyDescent="0.25">
      <c r="A180" s="90" t="s">
        <v>183</v>
      </c>
      <c r="B180" s="51" t="s">
        <v>189</v>
      </c>
      <c r="C180" s="56">
        <v>4800</v>
      </c>
      <c r="D180" s="521"/>
      <c r="E180" s="521"/>
      <c r="F180" s="521"/>
      <c r="G180" s="438"/>
      <c r="H180" s="521"/>
      <c r="I180" s="521"/>
    </row>
    <row r="181" spans="1:9" x14ac:dyDescent="0.25">
      <c r="A181" s="90"/>
      <c r="B181" s="102"/>
      <c r="C181" s="56"/>
      <c r="D181" s="521"/>
      <c r="E181" s="521"/>
      <c r="F181" s="521"/>
      <c r="G181" s="438"/>
      <c r="H181" s="521"/>
      <c r="I181" s="521"/>
    </row>
    <row r="182" spans="1:9" x14ac:dyDescent="0.25">
      <c r="A182" s="449"/>
      <c r="B182" s="440" t="s">
        <v>467</v>
      </c>
      <c r="C182" s="441"/>
      <c r="D182" s="523">
        <v>0</v>
      </c>
      <c r="E182" s="523"/>
      <c r="F182" s="523">
        <f>SUM(F181:F181)</f>
        <v>0</v>
      </c>
      <c r="G182" s="443"/>
      <c r="H182" s="524">
        <f>D182-F182</f>
        <v>0</v>
      </c>
      <c r="I182" s="523"/>
    </row>
    <row r="183" spans="1:9" x14ac:dyDescent="0.25">
      <c r="A183" s="90" t="s">
        <v>184</v>
      </c>
      <c r="B183" s="102" t="s">
        <v>190</v>
      </c>
      <c r="C183" s="56">
        <v>1500</v>
      </c>
      <c r="D183" s="521"/>
      <c r="E183" s="521"/>
      <c r="F183" s="521"/>
      <c r="G183" s="438"/>
      <c r="H183" s="521"/>
      <c r="I183" s="521"/>
    </row>
    <row r="184" spans="1:9" x14ac:dyDescent="0.25">
      <c r="A184" s="90"/>
      <c r="B184" s="102"/>
      <c r="C184" s="56"/>
      <c r="D184" s="521"/>
      <c r="E184" s="521"/>
      <c r="F184" s="521"/>
      <c r="G184" s="438"/>
      <c r="H184" s="521"/>
      <c r="I184" s="521"/>
    </row>
    <row r="185" spans="1:9" x14ac:dyDescent="0.25">
      <c r="A185" s="449"/>
      <c r="B185" s="440" t="s">
        <v>468</v>
      </c>
      <c r="C185" s="441"/>
      <c r="D185" s="523">
        <v>0</v>
      </c>
      <c r="E185" s="523"/>
      <c r="F185" s="523">
        <f>SUM(F184:F184)</f>
        <v>0</v>
      </c>
      <c r="G185" s="443"/>
      <c r="H185" s="524">
        <f>D185-F185</f>
        <v>0</v>
      </c>
      <c r="I185" s="523"/>
    </row>
    <row r="186" spans="1:9" x14ac:dyDescent="0.25">
      <c r="A186" s="94"/>
      <c r="B186" s="457" t="s">
        <v>181</v>
      </c>
      <c r="C186" s="97">
        <f>SUM(C180:C185)</f>
        <v>6300</v>
      </c>
      <c r="D186" s="528">
        <f>D182+D185</f>
        <v>0</v>
      </c>
      <c r="E186" s="528"/>
      <c r="F186" s="528">
        <f>F182+F185</f>
        <v>0</v>
      </c>
      <c r="G186" s="528"/>
      <c r="H186" s="529">
        <f>D186-F186</f>
        <v>0</v>
      </c>
      <c r="I186" s="528">
        <f>I182+I185</f>
        <v>0</v>
      </c>
    </row>
    <row r="187" spans="1:9" x14ac:dyDescent="0.25">
      <c r="A187" s="471">
        <v>2.9</v>
      </c>
      <c r="B187" s="452" t="s">
        <v>191</v>
      </c>
      <c r="C187" s="363"/>
      <c r="D187" s="525"/>
      <c r="E187" s="525"/>
      <c r="F187" s="525"/>
      <c r="G187" s="447"/>
      <c r="H187" s="525"/>
      <c r="I187" s="525"/>
    </row>
    <row r="188" spans="1:9" ht="25.5" x14ac:dyDescent="0.25">
      <c r="A188" s="124" t="s">
        <v>192</v>
      </c>
      <c r="B188" s="51" t="s">
        <v>193</v>
      </c>
      <c r="C188" s="56"/>
      <c r="D188" s="521"/>
      <c r="E188" s="521"/>
      <c r="F188" s="521"/>
      <c r="G188" s="438"/>
      <c r="H188" s="521"/>
      <c r="I188" s="521"/>
    </row>
    <row r="189" spans="1:9" x14ac:dyDescent="0.25">
      <c r="A189" s="124"/>
      <c r="B189" s="51"/>
      <c r="C189" s="56"/>
      <c r="D189" s="521"/>
      <c r="E189" s="521"/>
      <c r="F189" s="521"/>
      <c r="G189" s="438"/>
      <c r="H189" s="521"/>
      <c r="I189" s="521"/>
    </row>
    <row r="190" spans="1:9" x14ac:dyDescent="0.25">
      <c r="A190" s="469"/>
      <c r="B190" s="440" t="s">
        <v>469</v>
      </c>
      <c r="C190" s="441"/>
      <c r="D190" s="523"/>
      <c r="E190" s="523"/>
      <c r="F190" s="523">
        <f>SUM(F189:F189)</f>
        <v>0</v>
      </c>
      <c r="G190" s="443"/>
      <c r="H190" s="524">
        <f>D190-F190</f>
        <v>0</v>
      </c>
      <c r="I190" s="523"/>
    </row>
    <row r="191" spans="1:9" x14ac:dyDescent="0.25">
      <c r="A191" s="94"/>
      <c r="B191" s="457" t="s">
        <v>470</v>
      </c>
      <c r="C191" s="97">
        <f>C188</f>
        <v>0</v>
      </c>
      <c r="D191" s="528">
        <f>D190</f>
        <v>0</v>
      </c>
      <c r="E191" s="528"/>
      <c r="F191" s="528">
        <f>F190</f>
        <v>0</v>
      </c>
      <c r="G191" s="455"/>
      <c r="H191" s="529">
        <f>D191-F191</f>
        <v>0</v>
      </c>
      <c r="I191" s="528"/>
    </row>
    <row r="192" spans="1:9" x14ac:dyDescent="0.25">
      <c r="A192" s="472">
        <v>2.1</v>
      </c>
      <c r="B192" s="452" t="s">
        <v>197</v>
      </c>
      <c r="C192" s="363"/>
      <c r="D192" s="525"/>
      <c r="E192" s="525"/>
      <c r="F192" s="525"/>
      <c r="G192" s="447"/>
      <c r="H192" s="525"/>
      <c r="I192" s="525"/>
    </row>
    <row r="193" spans="1:9" ht="25.5" x14ac:dyDescent="0.25">
      <c r="A193" s="124" t="s">
        <v>198</v>
      </c>
      <c r="B193" s="51" t="s">
        <v>199</v>
      </c>
      <c r="C193" s="56">
        <v>0</v>
      </c>
      <c r="D193" s="521"/>
      <c r="E193" s="521"/>
      <c r="F193" s="521"/>
      <c r="G193" s="438"/>
      <c r="H193" s="521"/>
      <c r="I193" s="521"/>
    </row>
    <row r="194" spans="1:9" x14ac:dyDescent="0.25">
      <c r="A194" s="124"/>
      <c r="B194" s="51"/>
      <c r="C194" s="56"/>
      <c r="D194" s="521"/>
      <c r="E194" s="521"/>
      <c r="F194" s="521"/>
      <c r="G194" s="438"/>
      <c r="H194" s="521"/>
      <c r="I194" s="521"/>
    </row>
    <row r="195" spans="1:9" x14ac:dyDescent="0.25">
      <c r="A195" s="469"/>
      <c r="B195" s="440" t="s">
        <v>471</v>
      </c>
      <c r="C195" s="441"/>
      <c r="D195" s="523"/>
      <c r="E195" s="523"/>
      <c r="F195" s="523">
        <f>SUM(F194:F194)</f>
        <v>0</v>
      </c>
      <c r="G195" s="443"/>
      <c r="H195" s="524">
        <f>D195-F195</f>
        <v>0</v>
      </c>
      <c r="I195" s="523"/>
    </row>
    <row r="196" spans="1:9" x14ac:dyDescent="0.25">
      <c r="A196" s="124" t="s">
        <v>194</v>
      </c>
      <c r="B196" s="51" t="s">
        <v>200</v>
      </c>
      <c r="C196" s="56">
        <v>0</v>
      </c>
      <c r="D196" s="521"/>
      <c r="E196" s="521"/>
      <c r="F196" s="521"/>
      <c r="G196" s="438"/>
      <c r="H196" s="521"/>
      <c r="I196" s="521"/>
    </row>
    <row r="197" spans="1:9" x14ac:dyDescent="0.25">
      <c r="A197" s="124"/>
      <c r="B197" s="51"/>
      <c r="C197" s="56"/>
      <c r="D197" s="521"/>
      <c r="E197" s="521"/>
      <c r="F197" s="521"/>
      <c r="G197" s="438"/>
      <c r="H197" s="521"/>
      <c r="I197" s="521"/>
    </row>
    <row r="198" spans="1:9" x14ac:dyDescent="0.25">
      <c r="A198" s="469"/>
      <c r="B198" s="440" t="s">
        <v>601</v>
      </c>
      <c r="C198" s="441"/>
      <c r="D198" s="523"/>
      <c r="E198" s="523"/>
      <c r="F198" s="523">
        <f>SUM(F197:F197)</f>
        <v>0</v>
      </c>
      <c r="G198" s="443"/>
      <c r="H198" s="524">
        <f>D198-F198</f>
        <v>0</v>
      </c>
      <c r="I198" s="523"/>
    </row>
    <row r="199" spans="1:9" x14ac:dyDescent="0.25">
      <c r="A199" s="94"/>
      <c r="B199" s="457" t="s">
        <v>196</v>
      </c>
      <c r="C199" s="97">
        <f>SUM(C193:C198)</f>
        <v>0</v>
      </c>
      <c r="D199" s="528">
        <f>SUM(D195,D198)</f>
        <v>0</v>
      </c>
      <c r="E199" s="528"/>
      <c r="F199" s="528">
        <f>SUM(F195,F198)</f>
        <v>0</v>
      </c>
      <c r="G199" s="455"/>
      <c r="H199" s="529">
        <f>D199-F199</f>
        <v>0</v>
      </c>
      <c r="I199" s="528"/>
    </row>
    <row r="200" spans="1:9" ht="25.5" x14ac:dyDescent="0.25">
      <c r="A200" s="445">
        <v>2.11</v>
      </c>
      <c r="B200" s="452" t="s">
        <v>202</v>
      </c>
      <c r="C200" s="366"/>
      <c r="D200" s="525"/>
      <c r="E200" s="525"/>
      <c r="F200" s="525"/>
      <c r="G200" s="447"/>
      <c r="H200" s="525"/>
      <c r="I200" s="525"/>
    </row>
    <row r="201" spans="1:9" ht="56.25" customHeight="1" x14ac:dyDescent="0.25">
      <c r="A201" s="124" t="s">
        <v>203</v>
      </c>
      <c r="B201" s="51" t="s">
        <v>204</v>
      </c>
      <c r="C201" s="56">
        <v>0</v>
      </c>
      <c r="D201" s="521">
        <v>0</v>
      </c>
      <c r="E201" s="521"/>
      <c r="F201" s="521"/>
      <c r="G201" s="438"/>
      <c r="H201" s="521"/>
      <c r="I201" s="521"/>
    </row>
    <row r="202" spans="1:9" ht="15" customHeight="1" x14ac:dyDescent="0.25">
      <c r="A202" s="124"/>
      <c r="B202" s="51"/>
      <c r="C202" s="56"/>
      <c r="D202" s="521"/>
      <c r="E202" s="521"/>
      <c r="F202" s="521"/>
      <c r="G202" s="438"/>
      <c r="H202" s="521"/>
      <c r="I202" s="521"/>
    </row>
    <row r="203" spans="1:9" ht="10.5" customHeight="1" x14ac:dyDescent="0.25">
      <c r="A203" s="469"/>
      <c r="B203" s="440" t="s">
        <v>602</v>
      </c>
      <c r="C203" s="441"/>
      <c r="D203" s="523"/>
      <c r="E203" s="523"/>
      <c r="F203" s="523">
        <f>SUM(F202:F202)</f>
        <v>0</v>
      </c>
      <c r="G203" s="443"/>
      <c r="H203" s="524">
        <f>D203-F203</f>
        <v>0</v>
      </c>
      <c r="I203" s="523"/>
    </row>
    <row r="204" spans="1:9" x14ac:dyDescent="0.25">
      <c r="A204" s="124" t="s">
        <v>206</v>
      </c>
      <c r="B204" s="51" t="s">
        <v>207</v>
      </c>
      <c r="C204" s="56">
        <v>0</v>
      </c>
      <c r="D204" s="521">
        <v>0</v>
      </c>
      <c r="E204" s="521"/>
      <c r="F204" s="521"/>
      <c r="G204" s="438"/>
      <c r="H204" s="521"/>
      <c r="I204" s="521"/>
    </row>
    <row r="205" spans="1:9" x14ac:dyDescent="0.25">
      <c r="A205" s="124"/>
      <c r="B205" s="51"/>
      <c r="C205" s="56"/>
      <c r="D205" s="521"/>
      <c r="E205" s="521"/>
      <c r="F205" s="521"/>
      <c r="G205" s="438"/>
      <c r="H205" s="521"/>
      <c r="I205" s="521"/>
    </row>
    <row r="206" spans="1:9" x14ac:dyDescent="0.25">
      <c r="A206" s="469"/>
      <c r="B206" s="440" t="s">
        <v>603</v>
      </c>
      <c r="C206" s="441"/>
      <c r="D206" s="523"/>
      <c r="E206" s="523"/>
      <c r="F206" s="523">
        <f>SUM(F205:F205)</f>
        <v>0</v>
      </c>
      <c r="G206" s="443"/>
      <c r="H206" s="524">
        <f>D206-F206</f>
        <v>0</v>
      </c>
      <c r="I206" s="523"/>
    </row>
    <row r="207" spans="1:9" x14ac:dyDescent="0.25">
      <c r="A207" s="94"/>
      <c r="B207" s="457" t="s">
        <v>208</v>
      </c>
      <c r="C207" s="97">
        <f>SUM(C201:C204)</f>
        <v>0</v>
      </c>
      <c r="D207" s="528">
        <f>SUM(D201:D204)</f>
        <v>0</v>
      </c>
      <c r="E207" s="528"/>
      <c r="F207" s="528">
        <f>F206+F203</f>
        <v>0</v>
      </c>
      <c r="G207" s="455"/>
      <c r="H207" s="529">
        <f>D207-F207</f>
        <v>0</v>
      </c>
      <c r="I207" s="528"/>
    </row>
    <row r="208" spans="1:9" x14ac:dyDescent="0.25">
      <c r="A208" s="445">
        <v>2.12</v>
      </c>
      <c r="B208" s="473" t="s">
        <v>209</v>
      </c>
      <c r="C208" s="363"/>
      <c r="D208" s="525"/>
      <c r="E208" s="525"/>
      <c r="F208" s="525"/>
      <c r="G208" s="447"/>
      <c r="H208" s="525"/>
      <c r="I208" s="525"/>
    </row>
    <row r="209" spans="1:9" ht="25.5" x14ac:dyDescent="0.25">
      <c r="A209" s="152" t="s">
        <v>210</v>
      </c>
      <c r="B209" s="51" t="s">
        <v>211</v>
      </c>
      <c r="C209" s="56"/>
      <c r="D209" s="521">
        <v>0</v>
      </c>
      <c r="E209" s="521"/>
      <c r="F209" s="521"/>
      <c r="G209" s="438"/>
      <c r="H209" s="521"/>
      <c r="I209" s="521"/>
    </row>
    <row r="210" spans="1:9" x14ac:dyDescent="0.25">
      <c r="A210" s="94"/>
      <c r="B210" s="457" t="s">
        <v>212</v>
      </c>
      <c r="C210" s="97">
        <f>C209</f>
        <v>0</v>
      </c>
      <c r="D210" s="528">
        <f>D209</f>
        <v>0</v>
      </c>
      <c r="E210" s="528"/>
      <c r="F210" s="528">
        <f>F209</f>
        <v>0</v>
      </c>
      <c r="G210" s="455"/>
      <c r="H210" s="529">
        <f>D210-F210</f>
        <v>0</v>
      </c>
      <c r="I210" s="528"/>
    </row>
    <row r="211" spans="1:9" x14ac:dyDescent="0.25">
      <c r="A211" s="359"/>
      <c r="B211" s="462" t="s">
        <v>213</v>
      </c>
      <c r="C211" s="98">
        <f>SUM(C210,C207,C199,C191,C186,C178,C170,C160,C146,C131,C113,C95)</f>
        <v>343400</v>
      </c>
      <c r="D211" s="533">
        <f>SUM(D210,D207,D199,D191,D186,D178,D170,D160,D146,D131,D113,D95)</f>
        <v>127580</v>
      </c>
      <c r="E211" s="533"/>
      <c r="F211" s="533">
        <f>SUM(F210,F207,F199,F191,F186,F178,F170,F160,F146,F131,F113,F95)</f>
        <v>131221</v>
      </c>
      <c r="G211" s="464"/>
      <c r="H211" s="534">
        <f>D211-F211</f>
        <v>-3641</v>
      </c>
      <c r="I211" s="533"/>
    </row>
    <row r="212" spans="1:9" x14ac:dyDescent="0.25">
      <c r="A212" s="116"/>
      <c r="B212" s="466" t="s">
        <v>214</v>
      </c>
      <c r="C212" s="119"/>
      <c r="D212" s="537"/>
      <c r="E212" s="537"/>
      <c r="F212" s="537"/>
      <c r="G212" s="474"/>
      <c r="H212" s="537"/>
      <c r="I212" s="537"/>
    </row>
    <row r="213" spans="1:9" ht="38.25" x14ac:dyDescent="0.25">
      <c r="A213" s="445">
        <v>3.1</v>
      </c>
      <c r="B213" s="452" t="s">
        <v>215</v>
      </c>
      <c r="C213" s="371"/>
      <c r="D213" s="525"/>
      <c r="E213" s="525"/>
      <c r="F213" s="525"/>
      <c r="G213" s="447"/>
      <c r="H213" s="525"/>
      <c r="I213" s="525"/>
    </row>
    <row r="214" spans="1:9" ht="18.75" customHeight="1" x14ac:dyDescent="0.25">
      <c r="A214" s="157" t="s">
        <v>216</v>
      </c>
      <c r="B214" s="51" t="s">
        <v>217</v>
      </c>
      <c r="C214" s="56">
        <v>5000</v>
      </c>
      <c r="D214" s="521"/>
      <c r="E214" s="521"/>
      <c r="F214" s="521"/>
      <c r="G214" s="438"/>
      <c r="H214" s="521"/>
      <c r="I214" s="521"/>
    </row>
    <row r="215" spans="1:9" x14ac:dyDescent="0.25">
      <c r="A215" s="157"/>
      <c r="B215" s="51"/>
      <c r="C215" s="56"/>
      <c r="D215" s="521"/>
      <c r="E215" s="521"/>
      <c r="F215" s="521"/>
      <c r="G215" s="438"/>
      <c r="H215" s="521"/>
      <c r="I215" s="521"/>
    </row>
    <row r="216" spans="1:9" x14ac:dyDescent="0.25">
      <c r="A216" s="475"/>
      <c r="B216" s="440" t="s">
        <v>475</v>
      </c>
      <c r="C216" s="441"/>
      <c r="D216" s="523">
        <v>0</v>
      </c>
      <c r="E216" s="523"/>
      <c r="F216" s="523">
        <f>SUM(F215:F215)</f>
        <v>0</v>
      </c>
      <c r="G216" s="443"/>
      <c r="H216" s="524">
        <f>D216-F216</f>
        <v>0</v>
      </c>
      <c r="I216" s="523"/>
    </row>
    <row r="217" spans="1:9" x14ac:dyDescent="0.25">
      <c r="A217" s="157" t="s">
        <v>218</v>
      </c>
      <c r="B217" s="51" t="s">
        <v>219</v>
      </c>
      <c r="C217" s="56">
        <v>7000</v>
      </c>
      <c r="D217" s="521"/>
      <c r="E217" s="521"/>
      <c r="F217" s="521"/>
      <c r="G217" s="438"/>
      <c r="H217" s="521"/>
      <c r="I217" s="521"/>
    </row>
    <row r="218" spans="1:9" x14ac:dyDescent="0.25">
      <c r="A218" s="157"/>
      <c r="B218" s="51"/>
      <c r="C218" s="56"/>
      <c r="D218" s="521"/>
      <c r="E218" s="521"/>
      <c r="F218" s="521"/>
      <c r="G218" s="438"/>
      <c r="H218" s="521"/>
      <c r="I218" s="521"/>
    </row>
    <row r="219" spans="1:9" x14ac:dyDescent="0.25">
      <c r="A219" s="475"/>
      <c r="B219" s="440" t="s">
        <v>477</v>
      </c>
      <c r="C219" s="441"/>
      <c r="D219" s="523">
        <v>0</v>
      </c>
      <c r="E219" s="523"/>
      <c r="F219" s="523">
        <f>SUM(F218:F218)</f>
        <v>0</v>
      </c>
      <c r="G219" s="443"/>
      <c r="H219" s="524">
        <f>D219-F219</f>
        <v>0</v>
      </c>
      <c r="I219" s="523"/>
    </row>
    <row r="220" spans="1:9" ht="25.5" x14ac:dyDescent="0.25">
      <c r="A220" s="157" t="s">
        <v>220</v>
      </c>
      <c r="B220" s="51" t="s">
        <v>221</v>
      </c>
      <c r="C220" s="56">
        <v>15000</v>
      </c>
      <c r="D220" s="521"/>
      <c r="E220" s="521"/>
      <c r="F220" s="521"/>
      <c r="G220" s="438"/>
      <c r="H220" s="521"/>
      <c r="I220" s="521"/>
    </row>
    <row r="221" spans="1:9" x14ac:dyDescent="0.25">
      <c r="A221" s="157"/>
      <c r="B221" s="51"/>
      <c r="C221" s="56"/>
      <c r="D221" s="521"/>
      <c r="E221" s="521"/>
      <c r="F221" s="521"/>
      <c r="G221" s="438"/>
      <c r="H221" s="521"/>
      <c r="I221" s="521"/>
    </row>
    <row r="222" spans="1:9" x14ac:dyDescent="0.25">
      <c r="A222" s="475"/>
      <c r="B222" s="440" t="s">
        <v>479</v>
      </c>
      <c r="C222" s="441"/>
      <c r="D222" s="523">
        <v>0</v>
      </c>
      <c r="E222" s="523"/>
      <c r="F222" s="523">
        <f>SUM(F221:F221)</f>
        <v>0</v>
      </c>
      <c r="G222" s="443"/>
      <c r="H222" s="524">
        <f>D222-F222</f>
        <v>0</v>
      </c>
      <c r="I222" s="523"/>
    </row>
    <row r="223" spans="1:9" x14ac:dyDescent="0.25">
      <c r="A223" s="157" t="s">
        <v>223</v>
      </c>
      <c r="B223" s="51" t="s">
        <v>224</v>
      </c>
      <c r="C223" s="56">
        <v>2000</v>
      </c>
      <c r="D223" s="521"/>
      <c r="E223" s="521"/>
      <c r="F223" s="521"/>
      <c r="G223" s="438"/>
      <c r="H223" s="521"/>
      <c r="I223" s="521"/>
    </row>
    <row r="224" spans="1:9" x14ac:dyDescent="0.25">
      <c r="A224" s="157"/>
      <c r="B224" s="51"/>
      <c r="C224" s="56"/>
      <c r="D224" s="521"/>
      <c r="E224" s="521"/>
      <c r="F224" s="521"/>
      <c r="G224" s="438"/>
      <c r="H224" s="521"/>
      <c r="I224" s="521"/>
    </row>
    <row r="225" spans="1:9" x14ac:dyDescent="0.25">
      <c r="A225" s="475"/>
      <c r="B225" s="440" t="s">
        <v>481</v>
      </c>
      <c r="C225" s="441"/>
      <c r="D225" s="523">
        <v>0</v>
      </c>
      <c r="E225" s="523"/>
      <c r="F225" s="523">
        <f>SUM(F224:F224)</f>
        <v>0</v>
      </c>
      <c r="G225" s="443"/>
      <c r="H225" s="524">
        <f>D225-F225</f>
        <v>0</v>
      </c>
      <c r="I225" s="523"/>
    </row>
    <row r="226" spans="1:9" x14ac:dyDescent="0.25">
      <c r="A226" s="161"/>
      <c r="B226" s="457" t="s">
        <v>225</v>
      </c>
      <c r="C226" s="75">
        <f>SUM(C214:C223)</f>
        <v>29000</v>
      </c>
      <c r="D226" s="528">
        <f>SUM(D225,D222,D219,D216)</f>
        <v>0</v>
      </c>
      <c r="E226" s="528"/>
      <c r="F226" s="528">
        <f>SUM(F225,F222,F219,F216)</f>
        <v>0</v>
      </c>
      <c r="G226" s="455"/>
      <c r="H226" s="529">
        <f>D226-F226</f>
        <v>0</v>
      </c>
      <c r="I226" s="528"/>
    </row>
    <row r="227" spans="1:9" x14ac:dyDescent="0.25">
      <c r="A227" s="445">
        <v>3.2</v>
      </c>
      <c r="B227" s="476" t="s">
        <v>226</v>
      </c>
      <c r="C227" s="358"/>
      <c r="D227" s="525"/>
      <c r="E227" s="525"/>
      <c r="F227" s="525"/>
      <c r="G227" s="447"/>
      <c r="H227" s="525"/>
      <c r="I227" s="525"/>
    </row>
    <row r="228" spans="1:9" ht="25.5" x14ac:dyDescent="0.25">
      <c r="A228" s="90" t="s">
        <v>227</v>
      </c>
      <c r="B228" s="51" t="s">
        <v>228</v>
      </c>
      <c r="C228" s="56">
        <v>24000</v>
      </c>
      <c r="D228" s="521"/>
      <c r="E228" s="521"/>
      <c r="F228" s="521"/>
      <c r="G228" s="438"/>
      <c r="H228" s="521"/>
      <c r="I228" s="521"/>
    </row>
    <row r="229" spans="1:9" x14ac:dyDescent="0.25">
      <c r="A229" s="90"/>
      <c r="B229" s="51"/>
      <c r="C229" s="56"/>
      <c r="D229" s="521"/>
      <c r="E229" s="521"/>
      <c r="F229" s="521"/>
      <c r="G229" s="438"/>
      <c r="H229" s="521"/>
      <c r="I229" s="521"/>
    </row>
    <row r="230" spans="1:9" x14ac:dyDescent="0.25">
      <c r="A230" s="449"/>
      <c r="B230" s="440" t="s">
        <v>482</v>
      </c>
      <c r="C230" s="441"/>
      <c r="D230" s="523">
        <v>6000</v>
      </c>
      <c r="E230" s="523"/>
      <c r="F230" s="523">
        <f>SUM(F229:F229)</f>
        <v>0</v>
      </c>
      <c r="G230" s="443"/>
      <c r="H230" s="524">
        <f>D230-F230</f>
        <v>6000</v>
      </c>
      <c r="I230" s="523"/>
    </row>
    <row r="231" spans="1:9" x14ac:dyDescent="0.25">
      <c r="A231" s="90" t="s">
        <v>229</v>
      </c>
      <c r="B231" s="51" t="s">
        <v>230</v>
      </c>
      <c r="C231" s="56">
        <v>4000</v>
      </c>
      <c r="D231" s="521"/>
      <c r="E231" s="521"/>
      <c r="F231" s="521"/>
      <c r="G231" s="438"/>
      <c r="H231" s="521"/>
      <c r="I231" s="521"/>
    </row>
    <row r="232" spans="1:9" x14ac:dyDescent="0.25">
      <c r="A232" s="90"/>
      <c r="B232" s="51"/>
      <c r="C232" s="56"/>
      <c r="D232" s="521"/>
      <c r="E232" s="521"/>
      <c r="F232" s="521"/>
      <c r="G232" s="438"/>
      <c r="H232" s="521"/>
      <c r="I232" s="521"/>
    </row>
    <row r="233" spans="1:9" x14ac:dyDescent="0.25">
      <c r="A233" s="449"/>
      <c r="B233" s="440" t="s">
        <v>483</v>
      </c>
      <c r="C233" s="441"/>
      <c r="D233" s="523">
        <v>0</v>
      </c>
      <c r="E233" s="523"/>
      <c r="F233" s="523">
        <f>SUM(F232:F232)</f>
        <v>0</v>
      </c>
      <c r="G233" s="443"/>
      <c r="H233" s="524">
        <f>D233-F233</f>
        <v>0</v>
      </c>
      <c r="I233" s="523"/>
    </row>
    <row r="234" spans="1:9" x14ac:dyDescent="0.25">
      <c r="A234" s="164"/>
      <c r="B234" s="457" t="s">
        <v>231</v>
      </c>
      <c r="C234" s="165">
        <f>SUM(C228:C231)</f>
        <v>28000</v>
      </c>
      <c r="D234" s="528">
        <f>SUM(D233,D230)</f>
        <v>6000</v>
      </c>
      <c r="E234" s="528"/>
      <c r="F234" s="528">
        <f>SUM(F233,F230)</f>
        <v>0</v>
      </c>
      <c r="G234" s="455"/>
      <c r="H234" s="529">
        <f>D234-F234</f>
        <v>6000</v>
      </c>
      <c r="I234" s="528"/>
    </row>
    <row r="235" spans="1:9" ht="25.5" x14ac:dyDescent="0.25">
      <c r="A235" s="445">
        <v>3.3</v>
      </c>
      <c r="B235" s="476" t="s">
        <v>232</v>
      </c>
      <c r="C235" s="358"/>
      <c r="D235" s="525"/>
      <c r="E235" s="525"/>
      <c r="F235" s="525"/>
      <c r="G235" s="447"/>
      <c r="H235" s="525"/>
      <c r="I235" s="525"/>
    </row>
    <row r="236" spans="1:9" x14ac:dyDescent="0.25">
      <c r="A236" s="90" t="s">
        <v>233</v>
      </c>
      <c r="B236" s="51" t="s">
        <v>234</v>
      </c>
      <c r="C236" s="56">
        <v>4000</v>
      </c>
      <c r="D236" s="521"/>
      <c r="E236" s="521"/>
      <c r="F236" s="521"/>
      <c r="G236" s="438"/>
      <c r="H236" s="521"/>
      <c r="I236" s="521"/>
    </row>
    <row r="237" spans="1:9" x14ac:dyDescent="0.25">
      <c r="A237" s="90"/>
      <c r="B237" s="51"/>
      <c r="C237" s="56"/>
      <c r="D237" s="521"/>
      <c r="E237" s="521"/>
      <c r="F237" s="521"/>
      <c r="G237" s="438"/>
      <c r="H237" s="521"/>
      <c r="I237" s="521"/>
    </row>
    <row r="238" spans="1:9" x14ac:dyDescent="0.25">
      <c r="A238" s="449"/>
      <c r="B238" s="440" t="s">
        <v>488</v>
      </c>
      <c r="C238" s="441"/>
      <c r="D238" s="523">
        <v>0</v>
      </c>
      <c r="E238" s="523"/>
      <c r="F238" s="523">
        <f>SUM(F237:F237)</f>
        <v>0</v>
      </c>
      <c r="G238" s="443"/>
      <c r="H238" s="524">
        <f>D238-F238</f>
        <v>0</v>
      </c>
      <c r="I238" s="523"/>
    </row>
    <row r="239" spans="1:9" ht="27" customHeight="1" x14ac:dyDescent="0.25">
      <c r="A239" s="90" t="s">
        <v>235</v>
      </c>
      <c r="B239" s="51" t="s">
        <v>236</v>
      </c>
      <c r="C239" s="56">
        <v>9840</v>
      </c>
      <c r="D239" s="521"/>
      <c r="E239" s="521"/>
      <c r="F239" s="521"/>
      <c r="G239" s="438"/>
      <c r="H239" s="521"/>
      <c r="I239" s="521"/>
    </row>
    <row r="240" spans="1:9" x14ac:dyDescent="0.25">
      <c r="A240" s="90"/>
      <c r="B240" s="51"/>
      <c r="C240" s="56"/>
      <c r="D240" s="521"/>
      <c r="E240" s="521"/>
      <c r="F240" s="521"/>
      <c r="G240" s="438"/>
      <c r="H240" s="521"/>
      <c r="I240" s="521"/>
    </row>
    <row r="241" spans="1:9" x14ac:dyDescent="0.25">
      <c r="A241" s="449"/>
      <c r="B241" s="440" t="s">
        <v>483</v>
      </c>
      <c r="C241" s="441"/>
      <c r="D241" s="523">
        <v>0</v>
      </c>
      <c r="E241" s="523"/>
      <c r="F241" s="523">
        <f>SUM(F240:F240)</f>
        <v>0</v>
      </c>
      <c r="G241" s="443"/>
      <c r="H241" s="524">
        <f>D241-F241</f>
        <v>0</v>
      </c>
      <c r="I241" s="523"/>
    </row>
    <row r="242" spans="1:9" ht="25.5" x14ac:dyDescent="0.25">
      <c r="A242" s="90" t="s">
        <v>237</v>
      </c>
      <c r="B242" s="51" t="s">
        <v>238</v>
      </c>
      <c r="C242" s="56">
        <v>10000</v>
      </c>
      <c r="D242" s="521"/>
      <c r="E242" s="521"/>
      <c r="F242" s="521"/>
      <c r="G242" s="438"/>
      <c r="H242" s="521"/>
      <c r="I242" s="521"/>
    </row>
    <row r="243" spans="1:9" x14ac:dyDescent="0.25">
      <c r="A243" s="90"/>
      <c r="B243" s="51"/>
      <c r="C243" s="56"/>
      <c r="D243" s="521"/>
      <c r="E243" s="521"/>
      <c r="F243" s="521"/>
      <c r="G243" s="438"/>
      <c r="H243" s="521"/>
      <c r="I243" s="521"/>
    </row>
    <row r="244" spans="1:9" x14ac:dyDescent="0.25">
      <c r="A244" s="449"/>
      <c r="B244" s="440" t="s">
        <v>491</v>
      </c>
      <c r="C244" s="441"/>
      <c r="D244" s="523">
        <v>0</v>
      </c>
      <c r="E244" s="523"/>
      <c r="F244" s="523">
        <f>SUM(F243:F243)</f>
        <v>0</v>
      </c>
      <c r="G244" s="443"/>
      <c r="H244" s="524">
        <f>D244-F244</f>
        <v>0</v>
      </c>
      <c r="I244" s="523"/>
    </row>
    <row r="245" spans="1:9" x14ac:dyDescent="0.25">
      <c r="A245" s="90" t="s">
        <v>240</v>
      </c>
      <c r="B245" s="51" t="s">
        <v>241</v>
      </c>
      <c r="C245" s="56">
        <v>1000</v>
      </c>
      <c r="D245" s="521"/>
      <c r="E245" s="521"/>
      <c r="F245" s="521"/>
      <c r="G245" s="438"/>
      <c r="H245" s="521"/>
      <c r="I245" s="521"/>
    </row>
    <row r="246" spans="1:9" x14ac:dyDescent="0.25">
      <c r="A246" s="90"/>
      <c r="B246" s="51"/>
      <c r="C246" s="56"/>
      <c r="D246" s="521"/>
      <c r="E246" s="521"/>
      <c r="F246" s="521"/>
      <c r="G246" s="438"/>
      <c r="H246" s="521"/>
      <c r="I246" s="521"/>
    </row>
    <row r="247" spans="1:9" x14ac:dyDescent="0.25">
      <c r="A247" s="449"/>
      <c r="B247" s="440" t="s">
        <v>493</v>
      </c>
      <c r="C247" s="441"/>
      <c r="D247" s="523">
        <v>0</v>
      </c>
      <c r="E247" s="523"/>
      <c r="F247" s="523">
        <f>SUM(F246:F246)</f>
        <v>0</v>
      </c>
      <c r="G247" s="443"/>
      <c r="H247" s="524">
        <f>D247-F247</f>
        <v>0</v>
      </c>
      <c r="I247" s="523"/>
    </row>
    <row r="248" spans="1:9" x14ac:dyDescent="0.25">
      <c r="A248" s="94"/>
      <c r="B248" s="457" t="s">
        <v>242</v>
      </c>
      <c r="C248" s="97">
        <f>SUM(C236:C245)</f>
        <v>24840</v>
      </c>
      <c r="D248" s="528">
        <f>SUM(D247,D244,D241,D238)</f>
        <v>0</v>
      </c>
      <c r="E248" s="528"/>
      <c r="F248" s="528">
        <f>SUM(F247,F244,F241,F238)</f>
        <v>0</v>
      </c>
      <c r="G248" s="455"/>
      <c r="H248" s="529">
        <f>D248-F248</f>
        <v>0</v>
      </c>
      <c r="I248" s="528"/>
    </row>
    <row r="249" spans="1:9" x14ac:dyDescent="0.25">
      <c r="A249" s="359"/>
      <c r="B249" s="462" t="s">
        <v>243</v>
      </c>
      <c r="C249" s="98">
        <f>SUM(C248,C234,C226)</f>
        <v>81840</v>
      </c>
      <c r="D249" s="533">
        <f>SUM(D248,D234,D226)</f>
        <v>6000</v>
      </c>
      <c r="E249" s="533"/>
      <c r="F249" s="533">
        <f>SUM(F248,F234,F226)</f>
        <v>0</v>
      </c>
      <c r="G249" s="464"/>
      <c r="H249" s="534">
        <f>D249-F249</f>
        <v>6000</v>
      </c>
      <c r="I249" s="533"/>
    </row>
    <row r="250" spans="1:9" x14ac:dyDescent="0.25">
      <c r="A250" s="116"/>
      <c r="B250" s="466" t="s">
        <v>244</v>
      </c>
      <c r="C250" s="119"/>
      <c r="D250" s="537"/>
      <c r="E250" s="537"/>
      <c r="F250" s="537"/>
      <c r="G250" s="474"/>
      <c r="H250" s="537"/>
      <c r="I250" s="537"/>
    </row>
    <row r="251" spans="1:9" x14ac:dyDescent="0.25">
      <c r="A251" s="445">
        <v>4.0999999999999996</v>
      </c>
      <c r="B251" s="476" t="s">
        <v>245</v>
      </c>
      <c r="C251" s="366"/>
      <c r="D251" s="525"/>
      <c r="E251" s="525"/>
      <c r="F251" s="525"/>
      <c r="G251" s="447"/>
      <c r="H251" s="525"/>
      <c r="I251" s="525"/>
    </row>
    <row r="252" spans="1:9" x14ac:dyDescent="0.25">
      <c r="A252" s="170" t="s">
        <v>246</v>
      </c>
      <c r="B252" s="51" t="s">
        <v>247</v>
      </c>
      <c r="C252" s="56">
        <v>54000</v>
      </c>
      <c r="D252" s="521"/>
      <c r="E252" s="521"/>
      <c r="F252" s="521"/>
      <c r="G252" s="438"/>
      <c r="H252" s="521"/>
      <c r="I252" s="521"/>
    </row>
    <row r="253" spans="1:9" ht="51" x14ac:dyDescent="0.25">
      <c r="A253" s="170"/>
      <c r="B253" s="51" t="s">
        <v>750</v>
      </c>
      <c r="C253" s="56"/>
      <c r="D253" s="521"/>
      <c r="E253" s="521" t="s">
        <v>628</v>
      </c>
      <c r="F253" s="521">
        <v>9000</v>
      </c>
      <c r="G253" s="341" t="s">
        <v>629</v>
      </c>
      <c r="H253" s="521"/>
      <c r="I253" s="521"/>
    </row>
    <row r="254" spans="1:9" ht="76.5" x14ac:dyDescent="0.25">
      <c r="A254" s="170"/>
      <c r="B254" s="51" t="s">
        <v>751</v>
      </c>
      <c r="C254" s="56"/>
      <c r="D254" s="521"/>
      <c r="E254" s="521" t="s">
        <v>630</v>
      </c>
      <c r="F254" s="521">
        <v>6160</v>
      </c>
      <c r="G254" s="341" t="s">
        <v>631</v>
      </c>
      <c r="H254" s="521"/>
      <c r="I254" s="521"/>
    </row>
    <row r="255" spans="1:9" ht="63.75" x14ac:dyDescent="0.25">
      <c r="A255" s="170"/>
      <c r="B255" s="51" t="s">
        <v>632</v>
      </c>
      <c r="C255" s="56"/>
      <c r="D255" s="521"/>
      <c r="E255" s="521" t="s">
        <v>630</v>
      </c>
      <c r="F255" s="521">
        <v>810</v>
      </c>
      <c r="G255" t="s">
        <v>633</v>
      </c>
      <c r="H255" s="521"/>
      <c r="I255" s="521"/>
    </row>
    <row r="256" spans="1:9" x14ac:dyDescent="0.25">
      <c r="A256" s="477"/>
      <c r="B256" s="440" t="s">
        <v>494</v>
      </c>
      <c r="C256" s="441"/>
      <c r="D256" s="523">
        <v>18000</v>
      </c>
      <c r="E256" s="523"/>
      <c r="F256" s="523">
        <f>SUM(F253:F255)</f>
        <v>15970</v>
      </c>
      <c r="G256" s="443"/>
      <c r="H256" s="524">
        <f>D256-F256</f>
        <v>2030</v>
      </c>
      <c r="I256" s="523"/>
    </row>
    <row r="257" spans="1:9" x14ac:dyDescent="0.25">
      <c r="A257" s="170" t="s">
        <v>249</v>
      </c>
      <c r="B257" s="51" t="s">
        <v>250</v>
      </c>
      <c r="C257" s="56">
        <v>7200</v>
      </c>
      <c r="D257" s="521"/>
      <c r="E257" s="521"/>
      <c r="F257" s="521"/>
      <c r="G257" s="438"/>
      <c r="H257" s="521"/>
      <c r="I257" s="521"/>
    </row>
    <row r="258" spans="1:9" ht="51" x14ac:dyDescent="0.25">
      <c r="A258" s="170"/>
      <c r="B258" s="51" t="s">
        <v>634</v>
      </c>
      <c r="C258" s="56"/>
      <c r="D258" s="521"/>
      <c r="E258" s="521" t="s">
        <v>628</v>
      </c>
      <c r="F258" s="521">
        <v>2380</v>
      </c>
      <c r="G258" t="s">
        <v>633</v>
      </c>
      <c r="H258" s="521"/>
      <c r="I258" s="521"/>
    </row>
    <row r="259" spans="1:9" x14ac:dyDescent="0.25">
      <c r="A259" s="170"/>
      <c r="B259" s="51"/>
      <c r="C259" s="56"/>
      <c r="D259" s="521"/>
      <c r="E259" s="521"/>
      <c r="F259" s="521"/>
      <c r="G259" s="438"/>
      <c r="H259" s="521"/>
      <c r="I259" s="521"/>
    </row>
    <row r="260" spans="1:9" x14ac:dyDescent="0.25">
      <c r="A260" s="170"/>
      <c r="B260" s="51"/>
      <c r="C260" s="56"/>
      <c r="D260" s="521"/>
      <c r="E260" s="521"/>
      <c r="F260" s="521"/>
      <c r="G260" s="438"/>
      <c r="H260" s="521"/>
      <c r="I260" s="521"/>
    </row>
    <row r="261" spans="1:9" x14ac:dyDescent="0.25">
      <c r="A261" s="477"/>
      <c r="B261" s="440" t="s">
        <v>495</v>
      </c>
      <c r="C261" s="441"/>
      <c r="D261" s="523">
        <v>2400</v>
      </c>
      <c r="E261" s="523"/>
      <c r="F261" s="523">
        <f>SUM(F258:F260)</f>
        <v>2380</v>
      </c>
      <c r="G261" s="443"/>
      <c r="H261" s="524">
        <f>D261-F261</f>
        <v>20</v>
      </c>
      <c r="I261" s="523"/>
    </row>
    <row r="262" spans="1:9" x14ac:dyDescent="0.25">
      <c r="A262" s="478">
        <v>4.2</v>
      </c>
      <c r="B262" s="446" t="s">
        <v>251</v>
      </c>
      <c r="C262" s="479">
        <v>0</v>
      </c>
      <c r="D262" s="538"/>
      <c r="E262" s="538"/>
      <c r="F262" s="538"/>
      <c r="G262" s="480"/>
      <c r="H262" s="538"/>
      <c r="I262" s="538"/>
    </row>
    <row r="263" spans="1:9" x14ac:dyDescent="0.25">
      <c r="A263" s="170" t="s">
        <v>252</v>
      </c>
      <c r="B263" s="51" t="s">
        <v>251</v>
      </c>
      <c r="C263" s="481">
        <v>28000</v>
      </c>
      <c r="D263" s="539"/>
      <c r="E263" s="539"/>
      <c r="F263" s="539"/>
      <c r="G263" s="482"/>
      <c r="H263" s="539"/>
      <c r="I263" s="539"/>
    </row>
    <row r="264" spans="1:9" x14ac:dyDescent="0.25">
      <c r="A264" s="170"/>
      <c r="B264" s="51"/>
      <c r="C264" s="481"/>
      <c r="D264" s="539"/>
      <c r="E264" s="539"/>
      <c r="F264" s="539"/>
      <c r="G264" s="482"/>
      <c r="H264" s="539"/>
      <c r="I264" s="539"/>
    </row>
    <row r="265" spans="1:9" x14ac:dyDescent="0.25">
      <c r="A265" s="477"/>
      <c r="B265" s="440" t="s">
        <v>496</v>
      </c>
      <c r="C265" s="483"/>
      <c r="D265" s="540">
        <v>0</v>
      </c>
      <c r="E265" s="540"/>
      <c r="F265" s="540"/>
      <c r="G265" s="484"/>
      <c r="H265" s="540"/>
      <c r="I265" s="540"/>
    </row>
    <row r="266" spans="1:9" x14ac:dyDescent="0.25">
      <c r="A266" s="170" t="s">
        <v>253</v>
      </c>
      <c r="B266" s="51" t="s">
        <v>254</v>
      </c>
      <c r="C266" s="56">
        <v>6000</v>
      </c>
      <c r="D266" s="521"/>
      <c r="E266" s="521"/>
      <c r="F266" s="521"/>
      <c r="G266" s="438"/>
      <c r="H266" s="521"/>
      <c r="I266" s="521"/>
    </row>
    <row r="267" spans="1:9" x14ac:dyDescent="0.25">
      <c r="A267" s="170"/>
      <c r="B267" s="51"/>
      <c r="C267" s="56"/>
      <c r="D267" s="521"/>
      <c r="E267" s="521"/>
      <c r="F267" s="521"/>
      <c r="G267" s="438"/>
      <c r="H267" s="521"/>
      <c r="I267" s="521"/>
    </row>
    <row r="268" spans="1:9" x14ac:dyDescent="0.25">
      <c r="A268" s="477"/>
      <c r="B268" s="440" t="s">
        <v>497</v>
      </c>
      <c r="C268" s="441"/>
      <c r="D268" s="523">
        <v>0</v>
      </c>
      <c r="E268" s="523"/>
      <c r="F268" s="523">
        <f>SUM(F266:F267)</f>
        <v>0</v>
      </c>
      <c r="G268" s="443"/>
      <c r="H268" s="524">
        <f>D268-F268</f>
        <v>0</v>
      </c>
      <c r="I268" s="523"/>
    </row>
    <row r="269" spans="1:9" x14ac:dyDescent="0.25">
      <c r="A269" s="94"/>
      <c r="B269" s="457" t="s">
        <v>498</v>
      </c>
      <c r="C269" s="97">
        <f>SUM(C252:C268)</f>
        <v>95200</v>
      </c>
      <c r="D269" s="528">
        <f>SUM(D265,D268,D261,D256)</f>
        <v>20400</v>
      </c>
      <c r="E269" s="528"/>
      <c r="F269" s="528">
        <f>SUM(F265,F268,F261,F256)</f>
        <v>18350</v>
      </c>
      <c r="G269" s="528"/>
      <c r="H269" s="529">
        <f>D269-F269</f>
        <v>2050</v>
      </c>
      <c r="I269" s="528"/>
    </row>
    <row r="270" spans="1:9" x14ac:dyDescent="0.25">
      <c r="A270" s="445">
        <v>4.3</v>
      </c>
      <c r="B270" s="452" t="s">
        <v>257</v>
      </c>
      <c r="C270" s="366"/>
      <c r="D270" s="525"/>
      <c r="E270" s="525"/>
      <c r="F270" s="525"/>
      <c r="G270" s="447"/>
      <c r="H270" s="525"/>
      <c r="I270" s="525"/>
    </row>
    <row r="271" spans="1:9" x14ac:dyDescent="0.25">
      <c r="A271" s="70" t="s">
        <v>258</v>
      </c>
      <c r="B271" s="51" t="s">
        <v>259</v>
      </c>
      <c r="C271" s="56">
        <v>8640</v>
      </c>
      <c r="D271" s="521"/>
      <c r="E271" s="521"/>
      <c r="F271" s="521"/>
      <c r="G271" s="438"/>
      <c r="H271" s="521"/>
      <c r="I271" s="521"/>
    </row>
    <row r="272" spans="1:9" ht="51" x14ac:dyDescent="0.25">
      <c r="A272" s="70"/>
      <c r="B272" s="51" t="s">
        <v>635</v>
      </c>
      <c r="C272" s="56"/>
      <c r="D272" s="521"/>
      <c r="E272" s="521" t="s">
        <v>628</v>
      </c>
      <c r="F272" s="521">
        <v>720</v>
      </c>
      <c r="G272" s="341" t="s">
        <v>633</v>
      </c>
      <c r="H272" s="521"/>
      <c r="I272" s="521"/>
    </row>
    <row r="273" spans="1:9" ht="51" x14ac:dyDescent="0.25">
      <c r="A273" s="70"/>
      <c r="B273" s="51" t="s">
        <v>752</v>
      </c>
      <c r="C273" s="56"/>
      <c r="D273" s="521"/>
      <c r="E273" s="521" t="s">
        <v>640</v>
      </c>
      <c r="F273" s="521">
        <v>720</v>
      </c>
      <c r="G273" t="s">
        <v>642</v>
      </c>
      <c r="H273" s="521"/>
      <c r="I273" s="521"/>
    </row>
    <row r="274" spans="1:9" ht="51" x14ac:dyDescent="0.25">
      <c r="A274" s="70"/>
      <c r="B274" s="51" t="s">
        <v>753</v>
      </c>
      <c r="C274" s="56"/>
      <c r="D274" s="521"/>
      <c r="E274" s="521" t="s">
        <v>714</v>
      </c>
      <c r="F274" s="521">
        <v>720</v>
      </c>
      <c r="G274" s="438" t="s">
        <v>715</v>
      </c>
      <c r="H274" s="521"/>
      <c r="I274" s="521"/>
    </row>
    <row r="275" spans="1:9" x14ac:dyDescent="0.25">
      <c r="A275" s="449"/>
      <c r="B275" s="440" t="s">
        <v>505</v>
      </c>
      <c r="C275" s="441"/>
      <c r="D275" s="523">
        <v>2160</v>
      </c>
      <c r="E275" s="523"/>
      <c r="F275" s="523">
        <f>SUM(F272:F274)</f>
        <v>2160</v>
      </c>
      <c r="G275" s="443"/>
      <c r="H275" s="524">
        <f>D275-F275</f>
        <v>0</v>
      </c>
      <c r="I275" s="523"/>
    </row>
    <row r="276" spans="1:9" x14ac:dyDescent="0.25">
      <c r="A276" s="94"/>
      <c r="B276" s="457" t="s">
        <v>506</v>
      </c>
      <c r="C276" s="97">
        <f>SUM(C271:C275)</f>
        <v>8640</v>
      </c>
      <c r="D276" s="528">
        <f>D275</f>
        <v>2160</v>
      </c>
      <c r="E276" s="528"/>
      <c r="F276" s="528">
        <f>F275</f>
        <v>2160</v>
      </c>
      <c r="G276" s="528"/>
      <c r="H276" s="529">
        <f>D276-F276</f>
        <v>0</v>
      </c>
      <c r="I276" s="528">
        <f>I275</f>
        <v>0</v>
      </c>
    </row>
    <row r="277" spans="1:9" x14ac:dyDescent="0.25">
      <c r="A277" s="485" t="s">
        <v>350</v>
      </c>
      <c r="B277" s="486" t="s">
        <v>262</v>
      </c>
      <c r="C277" s="487">
        <v>44420</v>
      </c>
      <c r="D277" s="541"/>
      <c r="E277" s="541"/>
      <c r="F277" s="541"/>
      <c r="G277" s="488"/>
      <c r="H277" s="542"/>
      <c r="I277" s="541"/>
    </row>
    <row r="278" spans="1:9" x14ac:dyDescent="0.25">
      <c r="A278" s="490"/>
      <c r="B278" s="62"/>
      <c r="C278" s="56"/>
      <c r="D278" s="521"/>
      <c r="E278" s="521"/>
      <c r="F278" s="521"/>
      <c r="G278" s="438"/>
      <c r="H278" s="543"/>
      <c r="I278" s="521"/>
    </row>
    <row r="279" spans="1:9" x14ac:dyDescent="0.25">
      <c r="A279" s="490"/>
      <c r="B279" s="62"/>
      <c r="C279" s="56"/>
      <c r="D279" s="521"/>
      <c r="E279" s="521"/>
      <c r="F279" s="521"/>
      <c r="G279" s="438"/>
      <c r="H279" s="543"/>
      <c r="I279" s="521"/>
    </row>
    <row r="280" spans="1:9" x14ac:dyDescent="0.25">
      <c r="A280" s="449"/>
      <c r="B280" s="440" t="s">
        <v>507</v>
      </c>
      <c r="C280" s="441"/>
      <c r="D280" s="523"/>
      <c r="E280" s="523"/>
      <c r="F280" s="523"/>
      <c r="G280" s="443"/>
      <c r="H280" s="524"/>
      <c r="I280" s="523"/>
    </row>
    <row r="281" spans="1:9" x14ac:dyDescent="0.25">
      <c r="A281" s="94"/>
      <c r="B281" s="457" t="s">
        <v>508</v>
      </c>
      <c r="C281" s="97">
        <f>C277</f>
        <v>44420</v>
      </c>
      <c r="D281" s="528">
        <f>D280</f>
        <v>0</v>
      </c>
      <c r="E281" s="528"/>
      <c r="F281" s="528">
        <f>F275</f>
        <v>2160</v>
      </c>
      <c r="G281" s="455"/>
      <c r="H281" s="529">
        <f>D281-F281</f>
        <v>-2160</v>
      </c>
      <c r="I281" s="528"/>
    </row>
    <row r="282" spans="1:9" x14ac:dyDescent="0.25">
      <c r="A282" s="359"/>
      <c r="B282" s="462" t="s">
        <v>265</v>
      </c>
      <c r="C282" s="98">
        <f>SUM(C281,C269,C276)</f>
        <v>148260</v>
      </c>
      <c r="D282" s="533">
        <f>SUM(D281,D269,D276)</f>
        <v>22560</v>
      </c>
      <c r="E282" s="533"/>
      <c r="F282" s="533">
        <f>SUM(F281,F269)</f>
        <v>20510</v>
      </c>
      <c r="G282" s="464"/>
      <c r="H282" s="534">
        <f>D282-F282</f>
        <v>2050</v>
      </c>
      <c r="I282" s="533"/>
    </row>
    <row r="283" spans="1:9" x14ac:dyDescent="0.25">
      <c r="A283" s="388"/>
      <c r="B283" s="492" t="s">
        <v>266</v>
      </c>
      <c r="C283" s="390">
        <f>SUM(C282,C249,C211,C76)</f>
        <v>906900</v>
      </c>
      <c r="D283" s="390">
        <f>SUM(D76+D211+D249+D282)</f>
        <v>356980</v>
      </c>
      <c r="E283" s="544"/>
      <c r="F283" s="545">
        <f>SUM(F282,F249,F211,F76)</f>
        <v>336200</v>
      </c>
      <c r="G283" s="494"/>
      <c r="H283" s="546">
        <f>D283-F283</f>
        <v>20780</v>
      </c>
      <c r="I283" s="544"/>
    </row>
    <row r="284" spans="1:9" x14ac:dyDescent="0.25">
      <c r="A284" s="497">
        <v>5</v>
      </c>
      <c r="B284" s="498" t="s">
        <v>267</v>
      </c>
      <c r="C284" s="363"/>
      <c r="D284" s="525"/>
      <c r="E284" s="525"/>
      <c r="F284" s="525"/>
      <c r="G284" s="447"/>
      <c r="H284" s="525"/>
      <c r="I284" s="525"/>
    </row>
    <row r="285" spans="1:9" x14ac:dyDescent="0.25">
      <c r="A285" s="124">
        <v>5.0999999999999996</v>
      </c>
      <c r="B285" s="199" t="s">
        <v>268</v>
      </c>
      <c r="C285" s="56">
        <v>0</v>
      </c>
      <c r="D285" s="521"/>
      <c r="E285" s="521"/>
      <c r="F285" s="521"/>
      <c r="G285" s="438"/>
      <c r="H285" s="521"/>
      <c r="I285" s="521"/>
    </row>
    <row r="286" spans="1:9" x14ac:dyDescent="0.25">
      <c r="A286" s="388"/>
      <c r="B286" s="492" t="s">
        <v>270</v>
      </c>
      <c r="C286" s="390">
        <f>C285</f>
        <v>0</v>
      </c>
      <c r="D286" s="544">
        <f>D285</f>
        <v>0</v>
      </c>
      <c r="E286" s="544"/>
      <c r="F286" s="544">
        <f>F285</f>
        <v>0</v>
      </c>
      <c r="G286" s="494"/>
      <c r="H286" s="546">
        <f>D286-F286</f>
        <v>0</v>
      </c>
      <c r="I286" s="544"/>
    </row>
    <row r="287" spans="1:9" x14ac:dyDescent="0.25">
      <c r="A287" s="397">
        <v>6</v>
      </c>
      <c r="B287" s="499" t="s">
        <v>271</v>
      </c>
      <c r="C287" s="399"/>
      <c r="D287" s="525"/>
      <c r="E287" s="525"/>
      <c r="F287" s="525"/>
      <c r="G287" s="447"/>
      <c r="H287" s="525"/>
      <c r="I287" s="525"/>
    </row>
    <row r="288" spans="1:9" ht="25.5" x14ac:dyDescent="0.25">
      <c r="A288" s="209">
        <v>6.1</v>
      </c>
      <c r="B288" s="210" t="s">
        <v>272</v>
      </c>
      <c r="C288" s="56">
        <v>315000</v>
      </c>
      <c r="D288" s="521"/>
      <c r="E288" s="521"/>
      <c r="F288" s="521"/>
      <c r="G288" s="438"/>
      <c r="H288" s="521"/>
      <c r="I288" s="521"/>
    </row>
    <row r="289" spans="1:9" ht="25.5" x14ac:dyDescent="0.25">
      <c r="A289" s="209"/>
      <c r="B289" s="210" t="s">
        <v>643</v>
      </c>
      <c r="C289" s="56"/>
      <c r="D289" s="521"/>
      <c r="E289" s="521" t="s">
        <v>640</v>
      </c>
      <c r="F289" s="521">
        <v>26250</v>
      </c>
      <c r="G289" s="341" t="s">
        <v>644</v>
      </c>
      <c r="H289" s="521"/>
      <c r="I289" s="521"/>
    </row>
    <row r="290" spans="1:9" ht="59.25" customHeight="1" x14ac:dyDescent="0.25">
      <c r="A290" s="209"/>
      <c r="B290" s="563" t="s">
        <v>667</v>
      </c>
      <c r="C290" s="56"/>
      <c r="D290" s="521"/>
      <c r="E290" s="521" t="s">
        <v>663</v>
      </c>
      <c r="F290" s="521">
        <v>1416</v>
      </c>
      <c r="G290" s="341" t="s">
        <v>664</v>
      </c>
      <c r="H290" s="521"/>
      <c r="I290" s="521"/>
    </row>
    <row r="291" spans="1:9" ht="25.5" x14ac:dyDescent="0.25">
      <c r="A291" s="209"/>
      <c r="B291" s="210" t="s">
        <v>690</v>
      </c>
      <c r="C291" s="56"/>
      <c r="D291" s="521"/>
      <c r="E291" s="521" t="s">
        <v>691</v>
      </c>
      <c r="F291" s="521">
        <v>24834</v>
      </c>
      <c r="G291" s="341" t="s">
        <v>689</v>
      </c>
      <c r="H291" s="521"/>
      <c r="I291" s="521"/>
    </row>
    <row r="292" spans="1:9" ht="25.5" x14ac:dyDescent="0.25">
      <c r="A292" s="209"/>
      <c r="B292" s="210" t="s">
        <v>717</v>
      </c>
      <c r="C292" s="56"/>
      <c r="D292" s="521"/>
      <c r="E292" s="521" t="s">
        <v>708</v>
      </c>
      <c r="F292" s="521">
        <v>26250</v>
      </c>
      <c r="G292" s="341" t="s">
        <v>718</v>
      </c>
      <c r="H292" s="521"/>
      <c r="I292" s="521"/>
    </row>
    <row r="293" spans="1:9" x14ac:dyDescent="0.25">
      <c r="A293" s="500"/>
      <c r="B293" s="501" t="s">
        <v>515</v>
      </c>
      <c r="C293" s="441"/>
      <c r="D293" s="523">
        <v>78750</v>
      </c>
      <c r="E293" s="523"/>
      <c r="F293" s="523">
        <f>SUM(F289:F292)</f>
        <v>78750</v>
      </c>
      <c r="G293" s="443"/>
      <c r="H293" s="524">
        <f>D293-F293</f>
        <v>0</v>
      </c>
      <c r="I293" s="523"/>
    </row>
    <row r="294" spans="1:9" ht="35.25" customHeight="1" x14ac:dyDescent="0.25">
      <c r="A294" s="209">
        <v>6.2</v>
      </c>
      <c r="B294" s="210" t="s">
        <v>275</v>
      </c>
      <c r="C294" s="56">
        <v>252000</v>
      </c>
      <c r="D294" s="521"/>
      <c r="E294" s="521"/>
      <c r="F294" s="521"/>
      <c r="G294" s="438"/>
      <c r="H294" s="521"/>
      <c r="I294" s="521"/>
    </row>
    <row r="295" spans="1:9" ht="25.5" x14ac:dyDescent="0.25">
      <c r="A295" s="209"/>
      <c r="B295" s="210" t="s">
        <v>645</v>
      </c>
      <c r="C295" s="56"/>
      <c r="D295" s="521"/>
      <c r="E295" s="521" t="s">
        <v>640</v>
      </c>
      <c r="F295" s="521">
        <v>21000</v>
      </c>
      <c r="G295" s="341" t="s">
        <v>644</v>
      </c>
      <c r="H295" s="521"/>
      <c r="I295" s="521"/>
    </row>
    <row r="296" spans="1:9" ht="60.75" customHeight="1" x14ac:dyDescent="0.25">
      <c r="A296" s="209"/>
      <c r="B296" s="563" t="s">
        <v>666</v>
      </c>
      <c r="C296" s="56"/>
      <c r="D296" s="521"/>
      <c r="E296" s="521" t="s">
        <v>663</v>
      </c>
      <c r="F296" s="521">
        <v>1416</v>
      </c>
      <c r="G296" s="341" t="s">
        <v>664</v>
      </c>
      <c r="H296" s="521"/>
      <c r="I296" s="521"/>
    </row>
    <row r="297" spans="1:9" ht="27" customHeight="1" x14ac:dyDescent="0.25">
      <c r="A297" s="209"/>
      <c r="B297" s="210" t="s">
        <v>692</v>
      </c>
      <c r="C297" s="56"/>
      <c r="D297" s="521"/>
      <c r="E297" s="521" t="s">
        <v>691</v>
      </c>
      <c r="F297" s="521">
        <v>19584</v>
      </c>
      <c r="G297" s="341" t="s">
        <v>689</v>
      </c>
      <c r="H297" s="521"/>
      <c r="I297" s="521"/>
    </row>
    <row r="298" spans="1:9" ht="27" customHeight="1" x14ac:dyDescent="0.25">
      <c r="A298" s="209"/>
      <c r="B298" s="210" t="s">
        <v>719</v>
      </c>
      <c r="C298" s="56"/>
      <c r="D298" s="521"/>
      <c r="E298" s="521" t="s">
        <v>714</v>
      </c>
      <c r="F298" s="521">
        <v>21000</v>
      </c>
      <c r="G298" s="341" t="s">
        <v>718</v>
      </c>
      <c r="H298" s="521"/>
      <c r="I298" s="521"/>
    </row>
    <row r="299" spans="1:9" x14ac:dyDescent="0.25">
      <c r="A299" s="500"/>
      <c r="B299" s="501" t="s">
        <v>519</v>
      </c>
      <c r="C299" s="441"/>
      <c r="D299" s="523">
        <v>63000</v>
      </c>
      <c r="E299" s="523"/>
      <c r="F299" s="523">
        <f>SUM(F295:F298)</f>
        <v>63000</v>
      </c>
      <c r="G299" s="443"/>
      <c r="H299" s="524">
        <f>D299-F299</f>
        <v>0</v>
      </c>
      <c r="I299" s="523"/>
    </row>
    <row r="300" spans="1:9" ht="25.5" x14ac:dyDescent="0.25">
      <c r="A300" s="209">
        <v>6.3</v>
      </c>
      <c r="B300" s="210" t="s">
        <v>277</v>
      </c>
      <c r="C300" s="56">
        <v>604800</v>
      </c>
      <c r="D300" s="521"/>
      <c r="E300" s="521"/>
      <c r="F300" s="521"/>
      <c r="G300" s="438"/>
      <c r="H300" s="521"/>
      <c r="I300" s="521"/>
    </row>
    <row r="301" spans="1:9" ht="38.25" x14ac:dyDescent="0.25">
      <c r="A301" s="209"/>
      <c r="B301" s="210" t="s">
        <v>646</v>
      </c>
      <c r="C301" s="56"/>
      <c r="D301" s="521"/>
      <c r="E301" s="521" t="s">
        <v>640</v>
      </c>
      <c r="F301" s="521">
        <v>50400</v>
      </c>
      <c r="G301" s="341" t="s">
        <v>644</v>
      </c>
      <c r="H301" s="521"/>
      <c r="I301" s="521"/>
    </row>
    <row r="302" spans="1:9" ht="74.25" customHeight="1" x14ac:dyDescent="0.25">
      <c r="A302" s="209"/>
      <c r="B302" s="563" t="s">
        <v>665</v>
      </c>
      <c r="C302" s="56"/>
      <c r="D302" s="521"/>
      <c r="E302" s="521" t="s">
        <v>663</v>
      </c>
      <c r="F302" s="521">
        <v>5664</v>
      </c>
      <c r="G302" s="341" t="s">
        <v>664</v>
      </c>
      <c r="H302" s="521"/>
      <c r="I302" s="521"/>
    </row>
    <row r="303" spans="1:9" ht="38.25" x14ac:dyDescent="0.25">
      <c r="A303" s="209"/>
      <c r="B303" s="210" t="s">
        <v>687</v>
      </c>
      <c r="C303" s="56"/>
      <c r="D303" s="521"/>
      <c r="E303" s="521" t="s">
        <v>688</v>
      </c>
      <c r="F303" s="521">
        <v>44736</v>
      </c>
      <c r="G303" s="341" t="s">
        <v>689</v>
      </c>
      <c r="H303" s="521"/>
      <c r="I303" s="521"/>
    </row>
    <row r="304" spans="1:9" ht="38.25" x14ac:dyDescent="0.25">
      <c r="A304" s="209"/>
      <c r="B304" s="210" t="s">
        <v>720</v>
      </c>
      <c r="C304" s="56"/>
      <c r="D304" s="521"/>
      <c r="E304" s="521" t="s">
        <v>721</v>
      </c>
      <c r="F304" s="521">
        <v>50400</v>
      </c>
      <c r="G304" s="438" t="s">
        <v>718</v>
      </c>
      <c r="H304" s="521"/>
      <c r="I304" s="521"/>
    </row>
    <row r="305" spans="1:9" x14ac:dyDescent="0.25">
      <c r="A305" s="500"/>
      <c r="B305" s="501" t="s">
        <v>523</v>
      </c>
      <c r="C305" s="441"/>
      <c r="D305" s="523">
        <v>151200</v>
      </c>
      <c r="E305" s="523"/>
      <c r="F305" s="523">
        <f>SUM(F301:F304)</f>
        <v>151200</v>
      </c>
      <c r="G305" s="443"/>
      <c r="H305" s="524">
        <f>D305-F305</f>
        <v>0</v>
      </c>
      <c r="I305" s="523"/>
    </row>
    <row r="306" spans="1:9" x14ac:dyDescent="0.25">
      <c r="A306" s="209">
        <v>6.4</v>
      </c>
      <c r="B306" s="210" t="s">
        <v>352</v>
      </c>
      <c r="C306" s="67">
        <v>126000</v>
      </c>
      <c r="D306" s="521"/>
      <c r="E306" s="521"/>
      <c r="F306" s="521"/>
      <c r="G306" s="438"/>
      <c r="H306" s="521"/>
      <c r="I306" s="521"/>
    </row>
    <row r="307" spans="1:9" ht="39" customHeight="1" x14ac:dyDescent="0.25">
      <c r="A307" s="209"/>
      <c r="B307" s="210" t="s">
        <v>647</v>
      </c>
      <c r="C307" s="67"/>
      <c r="D307" s="521"/>
      <c r="E307" s="521" t="s">
        <v>640</v>
      </c>
      <c r="F307" s="521">
        <v>10500</v>
      </c>
      <c r="G307" s="341" t="s">
        <v>644</v>
      </c>
      <c r="H307" s="521"/>
      <c r="I307" s="521"/>
    </row>
    <row r="308" spans="1:9" ht="39" customHeight="1" x14ac:dyDescent="0.25">
      <c r="A308" s="209"/>
      <c r="B308" s="210" t="s">
        <v>693</v>
      </c>
      <c r="C308" s="67"/>
      <c r="D308" s="521"/>
      <c r="E308" s="521" t="s">
        <v>691</v>
      </c>
      <c r="F308" s="521">
        <v>10500</v>
      </c>
      <c r="G308" s="341" t="s">
        <v>689</v>
      </c>
      <c r="H308" s="521"/>
      <c r="I308" s="521"/>
    </row>
    <row r="309" spans="1:9" ht="39" customHeight="1" x14ac:dyDescent="0.25">
      <c r="A309" s="209"/>
      <c r="B309" s="210" t="s">
        <v>722</v>
      </c>
      <c r="C309" s="67"/>
      <c r="D309" s="521"/>
      <c r="E309" s="521" t="s">
        <v>708</v>
      </c>
      <c r="F309" s="521">
        <v>10500</v>
      </c>
      <c r="G309" s="341" t="s">
        <v>718</v>
      </c>
      <c r="H309" s="521"/>
      <c r="I309" s="521"/>
    </row>
    <row r="310" spans="1:9" x14ac:dyDescent="0.25">
      <c r="A310" s="500"/>
      <c r="B310" s="501" t="s">
        <v>527</v>
      </c>
      <c r="C310" s="441"/>
      <c r="D310" s="523">
        <v>31500</v>
      </c>
      <c r="E310" s="523"/>
      <c r="F310" s="523">
        <f>SUM(F307:F309)</f>
        <v>31500</v>
      </c>
      <c r="G310" s="443"/>
      <c r="H310" s="524">
        <f>D310-F310</f>
        <v>0</v>
      </c>
      <c r="I310" s="523"/>
    </row>
    <row r="311" spans="1:9" ht="25.5" x14ac:dyDescent="0.25">
      <c r="A311" s="209">
        <v>6.5</v>
      </c>
      <c r="B311" s="210" t="s">
        <v>281</v>
      </c>
      <c r="C311" s="56">
        <v>96000</v>
      </c>
      <c r="D311" s="521"/>
      <c r="E311" s="521"/>
      <c r="F311" s="521"/>
      <c r="G311" s="438"/>
      <c r="H311" s="543"/>
      <c r="I311" s="521"/>
    </row>
    <row r="312" spans="1:9" ht="25.5" x14ac:dyDescent="0.25">
      <c r="A312" s="209"/>
      <c r="B312" s="210" t="s">
        <v>648</v>
      </c>
      <c r="C312" s="56"/>
      <c r="D312" s="521"/>
      <c r="E312" s="521" t="s">
        <v>640</v>
      </c>
      <c r="F312" s="521">
        <v>8000</v>
      </c>
      <c r="G312" s="341" t="s">
        <v>644</v>
      </c>
      <c r="H312" s="543"/>
      <c r="I312" s="521"/>
    </row>
    <row r="313" spans="1:9" ht="25.5" x14ac:dyDescent="0.25">
      <c r="A313" s="209"/>
      <c r="B313" s="210" t="s">
        <v>694</v>
      </c>
      <c r="C313" s="56"/>
      <c r="D313" s="521"/>
      <c r="E313" s="521" t="s">
        <v>691</v>
      </c>
      <c r="F313" s="521">
        <v>8000</v>
      </c>
      <c r="G313" s="341" t="s">
        <v>689</v>
      </c>
      <c r="H313" s="543"/>
      <c r="I313" s="521"/>
    </row>
    <row r="314" spans="1:9" ht="25.5" x14ac:dyDescent="0.25">
      <c r="A314" s="209"/>
      <c r="B314" s="210" t="s">
        <v>723</v>
      </c>
      <c r="C314" s="56"/>
      <c r="D314" s="521"/>
      <c r="E314" s="521" t="s">
        <v>714</v>
      </c>
      <c r="F314" s="521">
        <v>8000</v>
      </c>
      <c r="G314" s="341" t="s">
        <v>718</v>
      </c>
      <c r="H314" s="543"/>
      <c r="I314" s="521"/>
    </row>
    <row r="315" spans="1:9" x14ac:dyDescent="0.25">
      <c r="A315" s="500"/>
      <c r="B315" s="501" t="s">
        <v>531</v>
      </c>
      <c r="C315" s="441"/>
      <c r="D315" s="523">
        <v>24000</v>
      </c>
      <c r="E315" s="523"/>
      <c r="F315" s="523">
        <f>SUM(F312:F314)</f>
        <v>24000</v>
      </c>
      <c r="G315" s="443"/>
      <c r="H315" s="524">
        <f>D315-F315</f>
        <v>0</v>
      </c>
      <c r="I315" s="523"/>
    </row>
    <row r="316" spans="1:9" x14ac:dyDescent="0.25">
      <c r="A316" s="401"/>
      <c r="B316" s="492" t="s">
        <v>283</v>
      </c>
      <c r="C316" s="390">
        <f>SUM(C288:C311)</f>
        <v>1393800</v>
      </c>
      <c r="D316" s="544">
        <f>SUM(D310,D305,D299,D293,D315)</f>
        <v>348450</v>
      </c>
      <c r="E316" s="544"/>
      <c r="F316" s="544">
        <f>SUM(F310,F305,F299,F293,F315)</f>
        <v>348450</v>
      </c>
      <c r="G316" s="544"/>
      <c r="H316" s="544">
        <f>D316-F316</f>
        <v>0</v>
      </c>
      <c r="I316" s="544"/>
    </row>
    <row r="317" spans="1:9" x14ac:dyDescent="0.25">
      <c r="A317" s="131">
        <v>7</v>
      </c>
      <c r="B317" s="502" t="s">
        <v>284</v>
      </c>
      <c r="C317" s="363"/>
      <c r="D317" s="525"/>
      <c r="E317" s="525"/>
      <c r="F317" s="525"/>
      <c r="G317" s="447"/>
      <c r="H317" s="525"/>
      <c r="I317" s="525"/>
    </row>
    <row r="318" spans="1:9" x14ac:dyDescent="0.25">
      <c r="A318" s="209">
        <v>7.1</v>
      </c>
      <c r="B318" s="199" t="s">
        <v>353</v>
      </c>
      <c r="C318" s="56">
        <v>90000</v>
      </c>
      <c r="D318" s="521"/>
      <c r="E318" s="521"/>
      <c r="F318" s="521"/>
      <c r="G318" s="438"/>
      <c r="H318" s="521"/>
      <c r="I318" s="521"/>
    </row>
    <row r="319" spans="1:9" ht="54.75" customHeight="1" x14ac:dyDescent="0.25">
      <c r="A319" s="209"/>
      <c r="B319" s="199" t="s">
        <v>754</v>
      </c>
      <c r="C319" s="56"/>
      <c r="D319" s="521"/>
      <c r="E319" s="521" t="s">
        <v>714</v>
      </c>
      <c r="F319" s="521">
        <v>15468</v>
      </c>
      <c r="G319" s="438" t="s">
        <v>734</v>
      </c>
      <c r="H319" s="521"/>
      <c r="I319" s="521"/>
    </row>
    <row r="320" spans="1:9" x14ac:dyDescent="0.25">
      <c r="A320" s="209"/>
      <c r="B320" s="199"/>
      <c r="C320" s="56"/>
      <c r="D320" s="521"/>
      <c r="E320" s="521"/>
      <c r="F320" s="521"/>
      <c r="G320" s="438"/>
      <c r="H320" s="521"/>
      <c r="I320" s="521"/>
    </row>
    <row r="321" spans="1:9" x14ac:dyDescent="0.25">
      <c r="A321" s="500"/>
      <c r="B321" s="503" t="s">
        <v>534</v>
      </c>
      <c r="C321" s="441"/>
      <c r="D321" s="523">
        <v>30000</v>
      </c>
      <c r="E321" s="523"/>
      <c r="F321" s="523">
        <f>SUM(F319:F320)</f>
        <v>15468</v>
      </c>
      <c r="G321" s="443"/>
      <c r="H321" s="524">
        <f>D321-F321</f>
        <v>14532</v>
      </c>
      <c r="I321" s="523"/>
    </row>
    <row r="322" spans="1:9" ht="45" customHeight="1" x14ac:dyDescent="0.25">
      <c r="A322" s="209">
        <v>7.2</v>
      </c>
      <c r="B322" s="84" t="s">
        <v>286</v>
      </c>
      <c r="C322" s="56">
        <v>30000</v>
      </c>
      <c r="D322" s="521"/>
      <c r="E322" s="521"/>
      <c r="F322" s="521"/>
      <c r="G322" s="438"/>
      <c r="H322" s="521"/>
      <c r="I322" s="521"/>
    </row>
    <row r="323" spans="1:9" ht="42" customHeight="1" x14ac:dyDescent="0.25">
      <c r="A323" s="209"/>
      <c r="B323" s="84" t="s">
        <v>649</v>
      </c>
      <c r="C323" s="56"/>
      <c r="D323" s="521"/>
      <c r="E323" s="521" t="s">
        <v>640</v>
      </c>
      <c r="F323" s="521">
        <v>2670</v>
      </c>
      <c r="G323" s="341" t="s">
        <v>650</v>
      </c>
      <c r="H323" s="521"/>
      <c r="I323" s="521"/>
    </row>
    <row r="324" spans="1:9" ht="38.25" x14ac:dyDescent="0.25">
      <c r="A324" s="209"/>
      <c r="B324" s="84" t="s">
        <v>695</v>
      </c>
      <c r="C324" s="56"/>
      <c r="D324" s="521"/>
      <c r="E324" s="521" t="s">
        <v>640</v>
      </c>
      <c r="F324" s="521">
        <v>2736</v>
      </c>
      <c r="G324" s="341" t="s">
        <v>696</v>
      </c>
      <c r="H324" s="521"/>
      <c r="I324" s="521"/>
    </row>
    <row r="325" spans="1:9" ht="38.25" x14ac:dyDescent="0.25">
      <c r="A325" s="209"/>
      <c r="B325" s="84" t="s">
        <v>724</v>
      </c>
      <c r="C325" s="56"/>
      <c r="D325" s="521"/>
      <c r="E325" s="521" t="s">
        <v>708</v>
      </c>
      <c r="F325" s="521">
        <v>2766</v>
      </c>
      <c r="G325" s="341" t="s">
        <v>725</v>
      </c>
      <c r="H325" s="521"/>
      <c r="I325" s="521"/>
    </row>
    <row r="326" spans="1:9" x14ac:dyDescent="0.25">
      <c r="A326" s="500"/>
      <c r="B326" s="453" t="s">
        <v>542</v>
      </c>
      <c r="C326" s="441"/>
      <c r="D326" s="523">
        <v>7500</v>
      </c>
      <c r="E326" s="523"/>
      <c r="F326" s="523">
        <f>SUM(F323:F325)</f>
        <v>8172</v>
      </c>
      <c r="G326" s="443"/>
      <c r="H326" s="524">
        <f>D326-F326</f>
        <v>-672</v>
      </c>
      <c r="I326" s="523"/>
    </row>
    <row r="327" spans="1:9" ht="38.25" x14ac:dyDescent="0.25">
      <c r="A327" s="209">
        <v>7.3</v>
      </c>
      <c r="B327" s="84" t="s">
        <v>288</v>
      </c>
      <c r="C327" s="56">
        <v>30000</v>
      </c>
      <c r="D327" s="521"/>
      <c r="E327" s="521"/>
      <c r="F327" s="521"/>
      <c r="G327" s="438"/>
      <c r="H327" s="521"/>
      <c r="I327" s="521"/>
    </row>
    <row r="328" spans="1:9" ht="38.25" x14ac:dyDescent="0.25">
      <c r="A328" s="209"/>
      <c r="B328" s="84" t="s">
        <v>651</v>
      </c>
      <c r="C328" s="56"/>
      <c r="D328" s="521"/>
      <c r="E328" s="521" t="s">
        <v>640</v>
      </c>
      <c r="F328" s="521">
        <v>2575</v>
      </c>
      <c r="G328" s="438" t="s">
        <v>652</v>
      </c>
      <c r="H328" s="521"/>
      <c r="I328" s="521"/>
    </row>
    <row r="329" spans="1:9" ht="38.25" x14ac:dyDescent="0.25">
      <c r="A329" s="209"/>
      <c r="B329" s="84" t="s">
        <v>697</v>
      </c>
      <c r="C329" s="56"/>
      <c r="D329" s="521"/>
      <c r="E329" s="521" t="s">
        <v>691</v>
      </c>
      <c r="F329" s="521">
        <v>2470</v>
      </c>
      <c r="G329" s="438" t="s">
        <v>698</v>
      </c>
      <c r="H329" s="521"/>
      <c r="I329" s="521"/>
    </row>
    <row r="330" spans="1:9" ht="38.25" x14ac:dyDescent="0.25">
      <c r="A330" s="209"/>
      <c r="B330" s="84" t="s">
        <v>726</v>
      </c>
      <c r="C330" s="56"/>
      <c r="D330" s="521"/>
      <c r="E330" s="521" t="s">
        <v>708</v>
      </c>
      <c r="F330" s="521">
        <v>2510</v>
      </c>
      <c r="G330" s="438" t="s">
        <v>727</v>
      </c>
      <c r="H330" s="521"/>
      <c r="I330" s="521"/>
    </row>
    <row r="331" spans="1:9" x14ac:dyDescent="0.25">
      <c r="A331" s="500"/>
      <c r="B331" s="453" t="s">
        <v>546</v>
      </c>
      <c r="C331" s="441"/>
      <c r="D331" s="523">
        <v>7500</v>
      </c>
      <c r="E331" s="523"/>
      <c r="F331" s="523">
        <f>SUM(F328:F330)</f>
        <v>7555</v>
      </c>
      <c r="G331" s="443"/>
      <c r="H331" s="524">
        <f>D331-F331</f>
        <v>-55</v>
      </c>
      <c r="I331" s="523"/>
    </row>
    <row r="332" spans="1:9" ht="27.75" customHeight="1" x14ac:dyDescent="0.25">
      <c r="A332" s="209">
        <v>7.4</v>
      </c>
      <c r="B332" s="51" t="s">
        <v>289</v>
      </c>
      <c r="C332" s="56">
        <v>76800</v>
      </c>
      <c r="D332" s="521"/>
      <c r="E332" s="521"/>
      <c r="F332" s="521"/>
      <c r="G332" s="438"/>
      <c r="H332" s="521"/>
      <c r="I332" s="521"/>
    </row>
    <row r="333" spans="1:9" ht="38.25" x14ac:dyDescent="0.25">
      <c r="A333" s="209"/>
      <c r="B333" s="84" t="s">
        <v>653</v>
      </c>
      <c r="C333" s="56"/>
      <c r="D333" s="521"/>
      <c r="E333" s="521" t="s">
        <v>640</v>
      </c>
      <c r="F333" s="521">
        <v>1716</v>
      </c>
      <c r="G333" s="438" t="s">
        <v>652</v>
      </c>
      <c r="H333" s="521"/>
      <c r="I333" s="521"/>
    </row>
    <row r="334" spans="1:9" ht="38.25" x14ac:dyDescent="0.25">
      <c r="A334" s="209"/>
      <c r="B334" s="84" t="s">
        <v>654</v>
      </c>
      <c r="C334" s="56"/>
      <c r="D334" s="521"/>
      <c r="E334" s="521" t="s">
        <v>640</v>
      </c>
      <c r="F334" s="521">
        <v>1590</v>
      </c>
      <c r="G334" s="438" t="s">
        <v>652</v>
      </c>
      <c r="H334" s="521"/>
      <c r="I334" s="521"/>
    </row>
    <row r="335" spans="1:9" ht="38.25" x14ac:dyDescent="0.25">
      <c r="A335" s="209"/>
      <c r="B335" s="84" t="s">
        <v>655</v>
      </c>
      <c r="C335" s="56"/>
      <c r="D335" s="521"/>
      <c r="E335" s="521" t="s">
        <v>640</v>
      </c>
      <c r="F335" s="521">
        <v>1560</v>
      </c>
      <c r="G335" s="438" t="s">
        <v>652</v>
      </c>
      <c r="H335" s="521"/>
      <c r="I335" s="521"/>
    </row>
    <row r="336" spans="1:9" ht="38.25" x14ac:dyDescent="0.25">
      <c r="A336" s="209"/>
      <c r="B336" s="84" t="s">
        <v>656</v>
      </c>
      <c r="C336" s="56"/>
      <c r="D336" s="521"/>
      <c r="E336" s="521" t="s">
        <v>640</v>
      </c>
      <c r="F336" s="521">
        <v>1692</v>
      </c>
      <c r="G336" s="438" t="s">
        <v>652</v>
      </c>
      <c r="H336" s="521"/>
      <c r="I336" s="521"/>
    </row>
    <row r="337" spans="1:9" ht="38.25" x14ac:dyDescent="0.25">
      <c r="A337" s="209"/>
      <c r="B337" s="84" t="s">
        <v>699</v>
      </c>
      <c r="C337" s="56"/>
      <c r="D337" s="521"/>
      <c r="E337" s="521" t="s">
        <v>691</v>
      </c>
      <c r="F337" s="521">
        <v>1620</v>
      </c>
      <c r="G337" s="438" t="s">
        <v>698</v>
      </c>
      <c r="H337" s="521"/>
      <c r="I337" s="521"/>
    </row>
    <row r="338" spans="1:9" ht="38.25" x14ac:dyDescent="0.25">
      <c r="A338" s="209"/>
      <c r="B338" s="84" t="s">
        <v>700</v>
      </c>
      <c r="C338" s="56"/>
      <c r="D338" s="521"/>
      <c r="E338" s="521" t="s">
        <v>691</v>
      </c>
      <c r="F338" s="521">
        <v>1614</v>
      </c>
      <c r="G338" s="438" t="s">
        <v>698</v>
      </c>
      <c r="H338" s="521"/>
      <c r="I338" s="521"/>
    </row>
    <row r="339" spans="1:9" ht="38.25" x14ac:dyDescent="0.25">
      <c r="A339" s="209"/>
      <c r="B339" s="84" t="s">
        <v>701</v>
      </c>
      <c r="C339" s="56"/>
      <c r="D339" s="521"/>
      <c r="E339" s="521" t="s">
        <v>691</v>
      </c>
      <c r="F339" s="521">
        <v>1824</v>
      </c>
      <c r="G339" s="438" t="s">
        <v>698</v>
      </c>
      <c r="H339" s="521"/>
      <c r="I339" s="521"/>
    </row>
    <row r="340" spans="1:9" ht="38.25" x14ac:dyDescent="0.25">
      <c r="A340" s="209"/>
      <c r="B340" s="84" t="s">
        <v>702</v>
      </c>
      <c r="C340" s="56"/>
      <c r="D340" s="521"/>
      <c r="E340" s="521" t="s">
        <v>691</v>
      </c>
      <c r="F340" s="521">
        <v>1674</v>
      </c>
      <c r="G340" s="438" t="s">
        <v>698</v>
      </c>
      <c r="H340" s="521"/>
      <c r="I340" s="521"/>
    </row>
    <row r="341" spans="1:9" ht="38.25" x14ac:dyDescent="0.25">
      <c r="A341" s="209"/>
      <c r="B341" s="84" t="s">
        <v>728</v>
      </c>
      <c r="C341" s="56"/>
      <c r="D341" s="521"/>
      <c r="E341" s="521" t="s">
        <v>708</v>
      </c>
      <c r="F341" s="521">
        <v>1590</v>
      </c>
      <c r="G341" s="438" t="s">
        <v>727</v>
      </c>
      <c r="H341" s="521"/>
      <c r="I341" s="521"/>
    </row>
    <row r="342" spans="1:9" ht="38.25" x14ac:dyDescent="0.25">
      <c r="A342" s="209"/>
      <c r="B342" s="84" t="s">
        <v>729</v>
      </c>
      <c r="C342" s="56"/>
      <c r="D342" s="521"/>
      <c r="E342" s="521" t="s">
        <v>708</v>
      </c>
      <c r="F342" s="521">
        <v>1608</v>
      </c>
      <c r="G342" s="438" t="s">
        <v>727</v>
      </c>
      <c r="H342" s="521"/>
      <c r="I342" s="521"/>
    </row>
    <row r="343" spans="1:9" ht="38.25" x14ac:dyDescent="0.25">
      <c r="A343" s="209"/>
      <c r="B343" s="84" t="s">
        <v>730</v>
      </c>
      <c r="C343" s="56"/>
      <c r="D343" s="521"/>
      <c r="E343" s="521" t="s">
        <v>708</v>
      </c>
      <c r="F343" s="521">
        <v>1386</v>
      </c>
      <c r="G343" s="438" t="s">
        <v>727</v>
      </c>
      <c r="H343" s="521"/>
      <c r="I343" s="521"/>
    </row>
    <row r="344" spans="1:9" ht="38.25" x14ac:dyDescent="0.25">
      <c r="A344" s="209"/>
      <c r="B344" s="84" t="s">
        <v>731</v>
      </c>
      <c r="C344" s="56"/>
      <c r="D344" s="521"/>
      <c r="E344" s="521" t="s">
        <v>708</v>
      </c>
      <c r="F344" s="521">
        <v>1680</v>
      </c>
      <c r="G344" s="438" t="s">
        <v>727</v>
      </c>
      <c r="H344" s="521"/>
      <c r="I344" s="521"/>
    </row>
    <row r="345" spans="1:9" x14ac:dyDescent="0.25">
      <c r="A345" s="209"/>
      <c r="B345" s="51"/>
      <c r="C345" s="56"/>
      <c r="D345" s="521"/>
      <c r="E345" s="521"/>
      <c r="F345" s="521"/>
      <c r="G345" s="438"/>
      <c r="H345" s="521"/>
      <c r="I345" s="521"/>
    </row>
    <row r="346" spans="1:9" x14ac:dyDescent="0.25">
      <c r="A346" s="500"/>
      <c r="B346" s="440" t="s">
        <v>559</v>
      </c>
      <c r="C346" s="441"/>
      <c r="D346" s="523">
        <v>19200</v>
      </c>
      <c r="E346" s="523"/>
      <c r="F346" s="523">
        <f>SUM(F333:F345)</f>
        <v>19554</v>
      </c>
      <c r="G346" s="443"/>
      <c r="H346" s="524">
        <f>D346-F346</f>
        <v>-354</v>
      </c>
      <c r="I346" s="523"/>
    </row>
    <row r="347" spans="1:9" x14ac:dyDescent="0.25">
      <c r="A347" s="401"/>
      <c r="B347" s="504" t="s">
        <v>291</v>
      </c>
      <c r="C347" s="390">
        <f>SUM(C318:C332)</f>
        <v>226800</v>
      </c>
      <c r="D347" s="544">
        <f>SUM(D346,D331,D326,D321)</f>
        <v>64200</v>
      </c>
      <c r="E347" s="544"/>
      <c r="F347" s="544">
        <f>SUM(F346,F331,F326,F321)</f>
        <v>50749</v>
      </c>
      <c r="G347" s="494"/>
      <c r="H347" s="544">
        <f>SUM(H346,H331,H326,H321)</f>
        <v>13451</v>
      </c>
      <c r="I347" s="544"/>
    </row>
    <row r="348" spans="1:9" x14ac:dyDescent="0.25">
      <c r="A348" s="397">
        <v>8</v>
      </c>
      <c r="B348" s="499" t="s">
        <v>292</v>
      </c>
      <c r="C348" s="399"/>
      <c r="D348" s="525"/>
      <c r="E348" s="525"/>
      <c r="F348" s="525"/>
      <c r="G348" s="447"/>
      <c r="H348" s="525"/>
      <c r="I348" s="525"/>
    </row>
    <row r="349" spans="1:9" ht="25.5" x14ac:dyDescent="0.25">
      <c r="A349" s="209">
        <v>8.1</v>
      </c>
      <c r="B349" s="51" t="s">
        <v>293</v>
      </c>
      <c r="C349" s="56">
        <v>102000</v>
      </c>
      <c r="D349" s="521"/>
      <c r="E349" s="521"/>
      <c r="F349" s="521"/>
      <c r="G349" s="438"/>
      <c r="H349" s="521"/>
      <c r="I349" s="521"/>
    </row>
    <row r="350" spans="1:9" ht="39" customHeight="1" x14ac:dyDescent="0.25">
      <c r="A350" s="209"/>
      <c r="B350" s="51" t="s">
        <v>636</v>
      </c>
      <c r="C350" s="56"/>
      <c r="D350" s="521"/>
      <c r="E350" s="521" t="s">
        <v>637</v>
      </c>
      <c r="F350" s="521">
        <v>8500</v>
      </c>
      <c r="G350" s="341" t="s">
        <v>638</v>
      </c>
      <c r="H350" s="521"/>
      <c r="I350" s="521">
        <v>1500</v>
      </c>
    </row>
    <row r="351" spans="1:9" ht="39" customHeight="1" x14ac:dyDescent="0.25">
      <c r="A351" s="209"/>
      <c r="B351" s="51" t="s">
        <v>703</v>
      </c>
      <c r="C351" s="56"/>
      <c r="D351" s="521"/>
      <c r="E351" s="521" t="s">
        <v>691</v>
      </c>
      <c r="F351" s="521">
        <v>8500</v>
      </c>
      <c r="G351" s="341" t="s">
        <v>704</v>
      </c>
      <c r="H351" s="521"/>
      <c r="I351" s="521">
        <v>1500</v>
      </c>
    </row>
    <row r="352" spans="1:9" ht="38.25" x14ac:dyDescent="0.25">
      <c r="A352" s="209"/>
      <c r="B352" s="51" t="s">
        <v>732</v>
      </c>
      <c r="C352" s="56"/>
      <c r="D352" s="521"/>
      <c r="E352" s="521" t="s">
        <v>708</v>
      </c>
      <c r="F352" s="521">
        <v>8500</v>
      </c>
      <c r="G352" s="341" t="s">
        <v>733</v>
      </c>
      <c r="H352" s="521"/>
      <c r="I352" s="521"/>
    </row>
    <row r="353" spans="1:9" x14ac:dyDescent="0.25">
      <c r="A353" s="500"/>
      <c r="B353" s="440" t="s">
        <v>566</v>
      </c>
      <c r="C353" s="441"/>
      <c r="D353" s="523">
        <v>25500</v>
      </c>
      <c r="E353" s="523"/>
      <c r="F353" s="523">
        <f>SUM(F350:F352)</f>
        <v>25500</v>
      </c>
      <c r="G353" s="443"/>
      <c r="H353" s="524">
        <f>D353-F353</f>
        <v>0</v>
      </c>
      <c r="I353" s="523"/>
    </row>
    <row r="354" spans="1:9" ht="25.5" x14ac:dyDescent="0.25">
      <c r="A354" s="209">
        <v>8.1999999999999993</v>
      </c>
      <c r="B354" s="51" t="s">
        <v>296</v>
      </c>
      <c r="C354" s="56">
        <v>24000</v>
      </c>
      <c r="D354" s="521"/>
      <c r="E354" s="521"/>
      <c r="F354" s="521"/>
      <c r="G354" s="438"/>
      <c r="H354" s="521"/>
      <c r="I354" s="521"/>
    </row>
    <row r="355" spans="1:9" ht="17.25" customHeight="1" x14ac:dyDescent="0.25">
      <c r="A355" s="209"/>
      <c r="B355" s="51" t="s">
        <v>567</v>
      </c>
      <c r="C355" s="56"/>
      <c r="D355" s="521"/>
      <c r="E355" s="505" t="s">
        <v>622</v>
      </c>
      <c r="F355" s="547">
        <v>1180</v>
      </c>
      <c r="G355" s="548" t="s">
        <v>623</v>
      </c>
      <c r="H355" s="521"/>
      <c r="I355" s="521"/>
    </row>
    <row r="356" spans="1:9" ht="17.25" customHeight="1" x14ac:dyDescent="0.25">
      <c r="A356" s="209"/>
      <c r="B356" s="51" t="s">
        <v>624</v>
      </c>
      <c r="C356" s="56"/>
      <c r="D356" s="521"/>
      <c r="E356" s="505" t="s">
        <v>622</v>
      </c>
      <c r="F356" s="547">
        <v>738.72</v>
      </c>
      <c r="G356" s="548" t="s">
        <v>625</v>
      </c>
      <c r="H356" s="521"/>
      <c r="I356" s="521"/>
    </row>
    <row r="357" spans="1:9" ht="51" x14ac:dyDescent="0.25">
      <c r="A357" s="209"/>
      <c r="B357" s="51" t="s">
        <v>711</v>
      </c>
      <c r="C357" s="56"/>
      <c r="D357" s="521"/>
      <c r="E357" s="505" t="s">
        <v>708</v>
      </c>
      <c r="F357" s="547">
        <v>928</v>
      </c>
      <c r="G357" s="548" t="s">
        <v>709</v>
      </c>
      <c r="H357" s="521"/>
      <c r="I357" s="521"/>
    </row>
    <row r="358" spans="1:9" ht="38.25" x14ac:dyDescent="0.25">
      <c r="A358" s="209"/>
      <c r="B358" s="51" t="s">
        <v>713</v>
      </c>
      <c r="C358" s="56"/>
      <c r="D358" s="521"/>
      <c r="E358" s="505" t="s">
        <v>708</v>
      </c>
      <c r="F358" s="547">
        <v>618</v>
      </c>
      <c r="G358" s="548" t="s">
        <v>712</v>
      </c>
      <c r="H358" s="521"/>
      <c r="I358" s="521"/>
    </row>
    <row r="359" spans="1:9" ht="17.25" customHeight="1" x14ac:dyDescent="0.25">
      <c r="A359" s="209"/>
      <c r="B359" s="51" t="s">
        <v>755</v>
      </c>
      <c r="C359" s="56"/>
      <c r="D359" s="521"/>
      <c r="E359" s="505" t="s">
        <v>756</v>
      </c>
      <c r="F359" s="547">
        <v>1.18</v>
      </c>
      <c r="G359" s="548" t="s">
        <v>757</v>
      </c>
      <c r="H359" s="521"/>
      <c r="I359" s="521"/>
    </row>
    <row r="360" spans="1:9" x14ac:dyDescent="0.25">
      <c r="A360" s="500"/>
      <c r="B360" s="440" t="s">
        <v>586</v>
      </c>
      <c r="C360" s="441"/>
      <c r="D360" s="523">
        <v>6000</v>
      </c>
      <c r="E360" s="523"/>
      <c r="F360" s="523">
        <f>SUM(F355:F359)</f>
        <v>3465.9</v>
      </c>
      <c r="G360" s="443"/>
      <c r="H360" s="524">
        <f>D360-F360</f>
        <v>2534.1</v>
      </c>
      <c r="I360" s="523"/>
    </row>
    <row r="361" spans="1:9" x14ac:dyDescent="0.25">
      <c r="A361" s="209">
        <v>8.3000000000000007</v>
      </c>
      <c r="B361" s="51" t="s">
        <v>298</v>
      </c>
      <c r="C361" s="56">
        <v>1500</v>
      </c>
      <c r="D361" s="521"/>
      <c r="E361" s="521"/>
      <c r="F361" s="521"/>
      <c r="G361" s="438"/>
      <c r="H361" s="521"/>
      <c r="I361" s="521"/>
    </row>
    <row r="362" spans="1:9" ht="44.25" customHeight="1" x14ac:dyDescent="0.25">
      <c r="A362" s="209"/>
      <c r="B362" s="51"/>
      <c r="C362" s="56"/>
      <c r="D362" s="521"/>
      <c r="E362" s="521"/>
      <c r="F362" s="521"/>
      <c r="G362" s="438"/>
      <c r="H362" s="521"/>
      <c r="I362" s="521"/>
    </row>
    <row r="363" spans="1:9" x14ac:dyDescent="0.25">
      <c r="A363" s="500"/>
      <c r="B363" s="440" t="s">
        <v>589</v>
      </c>
      <c r="C363" s="441"/>
      <c r="D363" s="523">
        <v>0</v>
      </c>
      <c r="E363" s="523"/>
      <c r="F363" s="523">
        <f>F362</f>
        <v>0</v>
      </c>
      <c r="G363" s="443"/>
      <c r="H363" s="524">
        <f>D363-F363</f>
        <v>0</v>
      </c>
      <c r="I363" s="523"/>
    </row>
    <row r="364" spans="1:9" x14ac:dyDescent="0.25">
      <c r="A364" s="209">
        <v>8.4</v>
      </c>
      <c r="B364" s="51" t="s">
        <v>300</v>
      </c>
      <c r="C364" s="56">
        <v>12000</v>
      </c>
      <c r="D364" s="521"/>
      <c r="E364" s="521"/>
      <c r="F364" s="521"/>
      <c r="G364" s="438"/>
      <c r="H364" s="521"/>
      <c r="I364" s="521"/>
    </row>
    <row r="365" spans="1:9" x14ac:dyDescent="0.25">
      <c r="A365" s="209"/>
      <c r="B365" s="51"/>
      <c r="C365" s="56"/>
      <c r="D365" s="521"/>
      <c r="E365" s="521"/>
      <c r="F365" s="521"/>
      <c r="G365" s="438"/>
      <c r="H365" s="521"/>
      <c r="I365" s="521"/>
    </row>
    <row r="366" spans="1:9" x14ac:dyDescent="0.25">
      <c r="A366" s="500"/>
      <c r="B366" s="440" t="s">
        <v>590</v>
      </c>
      <c r="C366" s="441"/>
      <c r="D366" s="523">
        <v>0</v>
      </c>
      <c r="E366" s="523"/>
      <c r="F366" s="523">
        <f>F365</f>
        <v>0</v>
      </c>
      <c r="G366" s="443"/>
      <c r="H366" s="524">
        <f>D366-F366</f>
        <v>0</v>
      </c>
      <c r="I366" s="523"/>
    </row>
    <row r="367" spans="1:9" x14ac:dyDescent="0.25">
      <c r="A367" s="209">
        <v>8.5</v>
      </c>
      <c r="B367" s="51" t="s">
        <v>302</v>
      </c>
      <c r="C367" s="56">
        <v>8000</v>
      </c>
      <c r="D367" s="521"/>
      <c r="E367" s="521"/>
      <c r="F367" s="521"/>
      <c r="G367" s="438"/>
      <c r="H367" s="521"/>
      <c r="I367" s="521"/>
    </row>
    <row r="368" spans="1:9" x14ac:dyDescent="0.25">
      <c r="A368" s="209"/>
      <c r="B368" s="51"/>
      <c r="C368" s="56"/>
      <c r="D368" s="521"/>
      <c r="E368" s="521"/>
      <c r="F368" s="521"/>
      <c r="G368" s="438"/>
      <c r="H368" s="521"/>
      <c r="I368" s="521"/>
    </row>
    <row r="369" spans="1:9" x14ac:dyDescent="0.25">
      <c r="A369" s="209"/>
      <c r="B369" s="51"/>
      <c r="C369" s="56"/>
      <c r="D369" s="521"/>
      <c r="E369" s="521"/>
      <c r="F369" s="521"/>
      <c r="G369" s="438"/>
      <c r="H369" s="521"/>
      <c r="I369" s="521"/>
    </row>
    <row r="370" spans="1:9" x14ac:dyDescent="0.25">
      <c r="A370" s="500"/>
      <c r="B370" s="440" t="s">
        <v>591</v>
      </c>
      <c r="C370" s="441"/>
      <c r="D370" s="523">
        <v>0</v>
      </c>
      <c r="E370" s="523"/>
      <c r="F370" s="523">
        <f>SUM(F368:F369)</f>
        <v>0</v>
      </c>
      <c r="G370" s="443"/>
      <c r="H370" s="524">
        <f>D370-F370</f>
        <v>0</v>
      </c>
      <c r="I370" s="523"/>
    </row>
    <row r="371" spans="1:9" x14ac:dyDescent="0.25">
      <c r="A371" s="507"/>
      <c r="B371" s="492" t="s">
        <v>307</v>
      </c>
      <c r="C371" s="390">
        <f>SUM(C349:C370)</f>
        <v>147500</v>
      </c>
      <c r="D371" s="544">
        <f>SUM(,D370,D366,D363,D360,D353)</f>
        <v>31500</v>
      </c>
      <c r="E371" s="544"/>
      <c r="F371" s="544">
        <f>SUM(,F370,F366,F363,F360,F353)</f>
        <v>28965.9</v>
      </c>
      <c r="G371" s="544"/>
      <c r="H371" s="544">
        <f>SUM(,H370,H366,H363,H360,H353)</f>
        <v>2534.1</v>
      </c>
      <c r="I371" s="544"/>
    </row>
    <row r="372" spans="1:9" x14ac:dyDescent="0.25">
      <c r="A372" s="407"/>
      <c r="B372" s="508" t="s">
        <v>308</v>
      </c>
      <c r="C372" s="245">
        <f>SUM(C371,C347,C316,C286,C283)</f>
        <v>2675000</v>
      </c>
      <c r="D372" s="549">
        <f>SUM(D371,D347,D316,D286,D283)</f>
        <v>801130</v>
      </c>
      <c r="E372" s="550"/>
      <c r="F372" s="549">
        <f>SUM(F371,F347,F316,F286,F283)</f>
        <v>764364.9</v>
      </c>
      <c r="G372" s="510"/>
      <c r="H372" s="549">
        <f>D372-F372</f>
        <v>36765.099999999977</v>
      </c>
      <c r="I372" s="551"/>
    </row>
    <row r="375" spans="1:9" x14ac:dyDescent="0.25">
      <c r="D375" s="553"/>
      <c r="F375" s="334"/>
    </row>
    <row r="376" spans="1:9" x14ac:dyDescent="0.25">
      <c r="F376" s="553"/>
    </row>
  </sheetData>
  <mergeCells count="17">
    <mergeCell ref="B1:D1"/>
    <mergeCell ref="A2:I2"/>
    <mergeCell ref="A3:I3"/>
    <mergeCell ref="A4:C5"/>
    <mergeCell ref="D4:D5"/>
    <mergeCell ref="A11:B11"/>
    <mergeCell ref="E11:I12"/>
    <mergeCell ref="A12:B12"/>
    <mergeCell ref="E4:F4"/>
    <mergeCell ref="G4:I5"/>
    <mergeCell ref="A6:B6"/>
    <mergeCell ref="E6:G6"/>
    <mergeCell ref="H6:I6"/>
    <mergeCell ref="A7:B7"/>
    <mergeCell ref="A10:B10"/>
    <mergeCell ref="A8:B8"/>
    <mergeCell ref="A9:B9"/>
  </mergeCells>
  <pageMargins left="3.9583333333333297E-2" right="3.9583333333333297E-2" top="0.35416666666666702" bottom="0.35416666666666702" header="0.511811023622047" footer="0.511811023622047"/>
  <pageSetup paperSize="9" scale="7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32"/>
  <sheetViews>
    <sheetView tabSelected="1" zoomScale="115" zoomScaleNormal="115" workbookViewId="0">
      <pane xSplit="2" ySplit="13" topLeftCell="C419" activePane="bottomRight" state="frozen"/>
      <selection pane="topRight" activeCell="C1" sqref="C1"/>
      <selection pane="bottomLeft" activeCell="A369" sqref="A369"/>
      <selection pane="bottomRight" activeCell="F428" sqref="F428"/>
    </sheetView>
  </sheetViews>
  <sheetFormatPr defaultColWidth="8.7109375" defaultRowHeight="15" x14ac:dyDescent="0.25"/>
  <cols>
    <col min="1" max="1" width="5.85546875" customWidth="1"/>
    <col min="2" max="2" width="53.5703125" customWidth="1"/>
    <col min="3" max="3" width="11.7109375" customWidth="1"/>
    <col min="4" max="4" width="13.140625" customWidth="1"/>
    <col min="5" max="5" width="11.28515625" customWidth="1"/>
    <col min="6" max="6" width="12.5703125" customWidth="1"/>
    <col min="7" max="7" width="11.5703125" style="410" customWidth="1"/>
    <col min="8" max="8" width="13.7109375" customWidth="1"/>
    <col min="9" max="9" width="12.5703125" customWidth="1"/>
    <col min="10" max="10" width="37.5703125" customWidth="1"/>
  </cols>
  <sheetData>
    <row r="1" spans="1:9" x14ac:dyDescent="0.25">
      <c r="B1" s="581" t="s">
        <v>0</v>
      </c>
      <c r="C1" s="581"/>
      <c r="D1" s="581"/>
    </row>
    <row r="2" spans="1:9" x14ac:dyDescent="0.25">
      <c r="A2" s="628" t="s">
        <v>354</v>
      </c>
      <c r="B2" s="628"/>
      <c r="C2" s="628"/>
      <c r="D2" s="628"/>
      <c r="E2" s="628"/>
      <c r="F2" s="628"/>
      <c r="G2" s="628"/>
      <c r="H2" s="628"/>
      <c r="I2" s="628"/>
    </row>
    <row r="3" spans="1:9" ht="28.5" customHeight="1" x14ac:dyDescent="0.25">
      <c r="A3" s="629" t="s">
        <v>355</v>
      </c>
      <c r="B3" s="629"/>
      <c r="C3" s="629"/>
      <c r="D3" s="629"/>
      <c r="E3" s="629"/>
      <c r="F3" s="629"/>
      <c r="G3" s="629"/>
      <c r="H3" s="629"/>
      <c r="I3" s="629"/>
    </row>
    <row r="4" spans="1:9" ht="15.75" customHeight="1" x14ac:dyDescent="0.25">
      <c r="A4" s="630"/>
      <c r="B4" s="630"/>
      <c r="C4" s="630"/>
      <c r="D4" s="631" t="s">
        <v>356</v>
      </c>
      <c r="E4" s="632" t="s">
        <v>604</v>
      </c>
      <c r="F4" s="632"/>
      <c r="G4" s="625"/>
      <c r="H4" s="625"/>
      <c r="I4" s="625"/>
    </row>
    <row r="5" spans="1:9" x14ac:dyDescent="0.25">
      <c r="A5" s="630"/>
      <c r="B5" s="630"/>
      <c r="C5" s="630"/>
      <c r="D5" s="631"/>
      <c r="E5" s="512" t="s">
        <v>605</v>
      </c>
      <c r="F5" s="513"/>
      <c r="G5" s="625"/>
      <c r="H5" s="625"/>
      <c r="I5" s="625"/>
    </row>
    <row r="6" spans="1:9" x14ac:dyDescent="0.25">
      <c r="A6" s="620" t="s">
        <v>359</v>
      </c>
      <c r="B6" s="620"/>
      <c r="C6" s="413"/>
      <c r="D6" s="414" t="s">
        <v>758</v>
      </c>
      <c r="E6" s="621" t="s">
        <v>361</v>
      </c>
      <c r="F6" s="621"/>
      <c r="G6" s="621"/>
      <c r="H6" s="633" t="str">
        <f>+' Qtr-1 April-24 to June-24 '!H6:I6</f>
        <v>Rs. 26,75,000/-</v>
      </c>
      <c r="I6" s="633"/>
    </row>
    <row r="7" spans="1:9" x14ac:dyDescent="0.25">
      <c r="A7" s="623" t="s">
        <v>606</v>
      </c>
      <c r="B7" s="623"/>
      <c r="C7" s="415"/>
      <c r="D7" s="514">
        <v>0</v>
      </c>
      <c r="E7" s="417"/>
      <c r="F7" s="418"/>
      <c r="G7" s="418"/>
      <c r="H7" s="418"/>
      <c r="I7" s="419"/>
    </row>
    <row r="8" spans="1:9" x14ac:dyDescent="0.25">
      <c r="A8" s="623" t="s">
        <v>363</v>
      </c>
      <c r="B8" s="623"/>
      <c r="C8" s="415"/>
      <c r="D8" s="420">
        <v>70766.319999999949</v>
      </c>
      <c r="E8" s="421"/>
      <c r="F8" s="421"/>
      <c r="G8" s="421"/>
      <c r="H8" s="421"/>
      <c r="I8" s="421"/>
    </row>
    <row r="9" spans="1:9" x14ac:dyDescent="0.25">
      <c r="A9" s="626" t="s">
        <v>607</v>
      </c>
      <c r="B9" s="626"/>
      <c r="C9" s="415"/>
      <c r="D9" s="420">
        <f>D8+D7</f>
        <v>70766.319999999949</v>
      </c>
      <c r="E9" s="421"/>
      <c r="F9" s="421"/>
      <c r="G9" s="421"/>
      <c r="H9" s="421"/>
      <c r="I9" s="421"/>
    </row>
    <row r="10" spans="1:9" x14ac:dyDescent="0.25">
      <c r="A10" s="623" t="s">
        <v>615</v>
      </c>
      <c r="B10" s="623"/>
      <c r="C10" s="415"/>
      <c r="D10" s="420">
        <v>2912</v>
      </c>
      <c r="E10" s="515"/>
      <c r="F10" s="516"/>
      <c r="G10" s="421"/>
      <c r="H10" s="516"/>
      <c r="I10" s="421"/>
    </row>
    <row r="11" spans="1:9" ht="14.25" customHeight="1" x14ac:dyDescent="0.25">
      <c r="A11" s="617" t="s">
        <v>608</v>
      </c>
      <c r="B11" s="617"/>
      <c r="C11" s="425"/>
      <c r="D11" s="518">
        <v>526803</v>
      </c>
      <c r="E11" s="618" t="s">
        <v>366</v>
      </c>
      <c r="F11" s="618"/>
      <c r="G11" s="618"/>
      <c r="H11" s="618"/>
      <c r="I11" s="618"/>
    </row>
    <row r="12" spans="1:9" x14ac:dyDescent="0.25">
      <c r="A12" s="619" t="s">
        <v>367</v>
      </c>
      <c r="B12" s="619"/>
      <c r="C12" s="427"/>
      <c r="D12" s="561">
        <f>SUM(D9:D11)</f>
        <v>600481.31999999995</v>
      </c>
      <c r="E12" s="618"/>
      <c r="F12" s="618"/>
      <c r="G12" s="618"/>
      <c r="H12" s="618"/>
      <c r="I12" s="618"/>
    </row>
    <row r="13" spans="1:9" ht="54" customHeight="1" x14ac:dyDescent="0.25">
      <c r="A13" s="429" t="s">
        <v>368</v>
      </c>
      <c r="B13" s="430" t="s">
        <v>369</v>
      </c>
      <c r="C13" s="430" t="s">
        <v>596</v>
      </c>
      <c r="D13" s="431" t="s">
        <v>618</v>
      </c>
      <c r="E13" s="432" t="s">
        <v>372</v>
      </c>
      <c r="F13" s="433" t="s">
        <v>373</v>
      </c>
      <c r="G13" s="434" t="s">
        <v>374</v>
      </c>
      <c r="H13" s="435" t="s">
        <v>375</v>
      </c>
      <c r="I13" s="436" t="s">
        <v>376</v>
      </c>
    </row>
    <row r="14" spans="1:9" x14ac:dyDescent="0.25">
      <c r="A14" s="42">
        <v>1</v>
      </c>
      <c r="B14" s="337" t="s">
        <v>56</v>
      </c>
      <c r="C14" s="338"/>
      <c r="D14" s="520"/>
      <c r="E14" s="520"/>
      <c r="F14" s="520"/>
      <c r="G14" s="437"/>
      <c r="H14" s="520"/>
      <c r="I14" s="520"/>
    </row>
    <row r="15" spans="1:9" x14ac:dyDescent="0.25">
      <c r="A15" s="50">
        <v>1.1000000000000001</v>
      </c>
      <c r="B15" s="51" t="s">
        <v>58</v>
      </c>
      <c r="C15" s="56">
        <v>0</v>
      </c>
      <c r="D15" s="521"/>
      <c r="E15" s="521"/>
      <c r="F15" s="521"/>
      <c r="G15" s="438"/>
      <c r="H15" s="521"/>
      <c r="I15" s="521"/>
    </row>
    <row r="16" spans="1:9" x14ac:dyDescent="0.25">
      <c r="A16" s="50"/>
      <c r="B16" s="51"/>
      <c r="C16" s="56"/>
      <c r="D16" s="521"/>
      <c r="E16" s="521"/>
      <c r="F16" s="521"/>
      <c r="G16" s="438"/>
      <c r="H16" s="521"/>
      <c r="I16" s="521"/>
    </row>
    <row r="17" spans="1:9" ht="26.25" customHeight="1" x14ac:dyDescent="0.25">
      <c r="A17" s="50"/>
      <c r="B17" s="51"/>
      <c r="C17" s="56"/>
      <c r="D17" s="521"/>
      <c r="E17" s="521"/>
      <c r="F17" s="521"/>
      <c r="G17" s="438"/>
      <c r="H17" s="521"/>
      <c r="I17" s="521"/>
    </row>
    <row r="18" spans="1:9" x14ac:dyDescent="0.25">
      <c r="A18" s="439"/>
      <c r="B18" s="440" t="s">
        <v>377</v>
      </c>
      <c r="C18" s="441"/>
      <c r="D18" s="522">
        <v>0</v>
      </c>
      <c r="E18" s="523"/>
      <c r="F18" s="523">
        <f>SUM(F16:F17)</f>
        <v>0</v>
      </c>
      <c r="G18" s="443"/>
      <c r="H18" s="524">
        <f>D18-F18</f>
        <v>0</v>
      </c>
      <c r="I18" s="523">
        <f>SUM(I16:I17)</f>
        <v>0</v>
      </c>
    </row>
    <row r="19" spans="1:9" x14ac:dyDescent="0.25">
      <c r="A19" s="445">
        <v>1.2</v>
      </c>
      <c r="B19" s="446" t="s">
        <v>59</v>
      </c>
      <c r="C19" s="66"/>
      <c r="D19" s="525"/>
      <c r="E19" s="525"/>
      <c r="F19" s="525"/>
      <c r="G19" s="447"/>
      <c r="H19" s="525"/>
      <c r="I19" s="525"/>
    </row>
    <row r="20" spans="1:9" ht="25.5" x14ac:dyDescent="0.25">
      <c r="A20" s="70" t="s">
        <v>60</v>
      </c>
      <c r="B20" s="51" t="s">
        <v>61</v>
      </c>
      <c r="C20" s="56">
        <v>79920</v>
      </c>
      <c r="D20" s="521"/>
      <c r="E20" s="521"/>
      <c r="F20" s="521"/>
      <c r="G20" s="438"/>
      <c r="H20" s="521"/>
      <c r="I20" s="521"/>
    </row>
    <row r="21" spans="1:9" ht="63.75" x14ac:dyDescent="0.25">
      <c r="A21" s="70"/>
      <c r="B21" s="51" t="s">
        <v>801</v>
      </c>
      <c r="C21" s="56"/>
      <c r="D21" s="521"/>
      <c r="E21" s="521" t="s">
        <v>797</v>
      </c>
      <c r="F21" s="521">
        <v>6000</v>
      </c>
      <c r="G21" s="438" t="s">
        <v>802</v>
      </c>
      <c r="H21" s="521"/>
      <c r="I21" s="521"/>
    </row>
    <row r="22" spans="1:9" ht="63.75" x14ac:dyDescent="0.25">
      <c r="A22" s="70"/>
      <c r="B22" s="51" t="s">
        <v>848</v>
      </c>
      <c r="C22" s="56"/>
      <c r="D22" s="521"/>
      <c r="E22" s="521" t="s">
        <v>838</v>
      </c>
      <c r="F22" s="521">
        <v>6435</v>
      </c>
      <c r="G22" s="438" t="s">
        <v>849</v>
      </c>
      <c r="H22" s="521"/>
      <c r="I22" s="521"/>
    </row>
    <row r="23" spans="1:9" ht="63.75" x14ac:dyDescent="0.25">
      <c r="A23" s="70"/>
      <c r="B23" s="51" t="s">
        <v>915</v>
      </c>
      <c r="C23" s="56"/>
      <c r="D23" s="521"/>
      <c r="E23" s="521" t="s">
        <v>898</v>
      </c>
      <c r="F23" s="521">
        <v>6300</v>
      </c>
      <c r="G23" s="438" t="s">
        <v>916</v>
      </c>
      <c r="H23" s="521"/>
      <c r="I23" s="521"/>
    </row>
    <row r="24" spans="1:9" ht="25.5" x14ac:dyDescent="0.25">
      <c r="A24" s="449"/>
      <c r="B24" s="440" t="s">
        <v>387</v>
      </c>
      <c r="C24" s="441"/>
      <c r="D24" s="450">
        <v>19980</v>
      </c>
      <c r="E24" s="523"/>
      <c r="F24" s="523">
        <f>SUM(F21:F23)</f>
        <v>18735</v>
      </c>
      <c r="G24" s="443"/>
      <c r="H24" s="524">
        <f>D24-F24</f>
        <v>1245</v>
      </c>
      <c r="I24" s="523">
        <f>SUM(I21:I23)</f>
        <v>0</v>
      </c>
    </row>
    <row r="25" spans="1:9" x14ac:dyDescent="0.25">
      <c r="A25" s="72"/>
      <c r="B25" s="451" t="s">
        <v>63</v>
      </c>
      <c r="C25" s="75">
        <f>SUM(C15,C20)</f>
        <v>79920</v>
      </c>
      <c r="D25" s="526">
        <f>D24+D18</f>
        <v>19980</v>
      </c>
      <c r="E25" s="526"/>
      <c r="F25" s="526">
        <f>SUM(F24)</f>
        <v>18735</v>
      </c>
      <c r="G25" s="526"/>
      <c r="H25" s="526">
        <f>D25-F25</f>
        <v>1245</v>
      </c>
      <c r="I25" s="526">
        <f>SUM(I24)</f>
        <v>0</v>
      </c>
    </row>
    <row r="26" spans="1:9" ht="63.75" x14ac:dyDescent="0.25">
      <c r="A26" s="445">
        <v>1.3</v>
      </c>
      <c r="B26" s="452" t="s">
        <v>64</v>
      </c>
      <c r="C26" s="352"/>
      <c r="D26" s="525"/>
      <c r="E26" s="525"/>
      <c r="F26" s="525"/>
      <c r="G26" s="447"/>
      <c r="H26" s="525"/>
      <c r="I26" s="525"/>
    </row>
    <row r="27" spans="1:9" ht="28.5" customHeight="1" x14ac:dyDescent="0.25">
      <c r="A27" s="70" t="s">
        <v>65</v>
      </c>
      <c r="B27" s="51" t="s">
        <v>66</v>
      </c>
      <c r="C27" s="56">
        <v>2000</v>
      </c>
      <c r="D27" s="521"/>
      <c r="E27" s="521"/>
      <c r="F27" s="521"/>
      <c r="G27" s="438"/>
      <c r="H27" s="521"/>
      <c r="I27" s="521"/>
    </row>
    <row r="28" spans="1:9" x14ac:dyDescent="0.25">
      <c r="A28" s="70"/>
      <c r="B28" s="51"/>
      <c r="C28" s="56"/>
      <c r="D28" s="521"/>
      <c r="E28" s="521"/>
      <c r="F28" s="521"/>
      <c r="G28" s="438"/>
      <c r="H28" s="521"/>
      <c r="I28" s="521"/>
    </row>
    <row r="29" spans="1:9" x14ac:dyDescent="0.25">
      <c r="A29" s="70"/>
      <c r="B29" s="51"/>
      <c r="C29" s="56"/>
      <c r="D29" s="521"/>
      <c r="E29" s="521"/>
      <c r="F29" s="521"/>
      <c r="G29" s="438"/>
      <c r="H29" s="521"/>
      <c r="I29" s="521"/>
    </row>
    <row r="30" spans="1:9" x14ac:dyDescent="0.25">
      <c r="A30" s="70"/>
      <c r="B30" s="51"/>
      <c r="C30" s="56"/>
      <c r="D30" s="521"/>
      <c r="E30" s="521"/>
      <c r="F30" s="521"/>
      <c r="G30" s="438"/>
      <c r="H30" s="521"/>
      <c r="I30" s="521"/>
    </row>
    <row r="31" spans="1:9" x14ac:dyDescent="0.25">
      <c r="A31" s="449"/>
      <c r="B31" s="440" t="s">
        <v>393</v>
      </c>
      <c r="C31" s="441"/>
      <c r="D31" s="523"/>
      <c r="E31" s="523"/>
      <c r="F31" s="523">
        <f>SUM(F28:F30)</f>
        <v>0</v>
      </c>
      <c r="G31" s="443"/>
      <c r="H31" s="524">
        <f>D31-F31</f>
        <v>0</v>
      </c>
      <c r="I31" s="523"/>
    </row>
    <row r="32" spans="1:9" ht="16.5" customHeight="1" x14ac:dyDescent="0.25">
      <c r="A32" s="70" t="s">
        <v>68</v>
      </c>
      <c r="B32" s="84" t="s">
        <v>69</v>
      </c>
      <c r="C32" s="56">
        <v>12480</v>
      </c>
      <c r="D32" s="521"/>
      <c r="E32" s="521"/>
      <c r="F32" s="521"/>
      <c r="G32" s="438"/>
      <c r="H32" s="521"/>
      <c r="I32" s="521"/>
    </row>
    <row r="33" spans="1:9" ht="63.75" x14ac:dyDescent="0.25">
      <c r="A33" s="70"/>
      <c r="B33" s="84" t="s">
        <v>828</v>
      </c>
      <c r="C33" s="56"/>
      <c r="D33" s="521"/>
      <c r="E33" s="521" t="s">
        <v>829</v>
      </c>
      <c r="F33" s="521">
        <v>3000</v>
      </c>
      <c r="G33" s="438" t="s">
        <v>830</v>
      </c>
      <c r="H33" s="521"/>
      <c r="I33" s="521"/>
    </row>
    <row r="34" spans="1:9" ht="63.75" x14ac:dyDescent="0.25">
      <c r="A34" s="70"/>
      <c r="B34" s="84" t="s">
        <v>871</v>
      </c>
      <c r="C34" s="56"/>
      <c r="D34" s="521"/>
      <c r="E34" s="521" t="s">
        <v>863</v>
      </c>
      <c r="F34" s="521">
        <v>3120</v>
      </c>
      <c r="G34" s="438" t="s">
        <v>872</v>
      </c>
      <c r="H34" s="521"/>
      <c r="I34" s="521"/>
    </row>
    <row r="35" spans="1:9" x14ac:dyDescent="0.25">
      <c r="A35" s="70"/>
      <c r="B35" s="84"/>
      <c r="C35" s="56"/>
      <c r="D35" s="521"/>
      <c r="E35" s="521"/>
      <c r="F35" s="521"/>
      <c r="G35" s="438"/>
      <c r="H35" s="521"/>
      <c r="I35" s="521"/>
    </row>
    <row r="36" spans="1:9" x14ac:dyDescent="0.25">
      <c r="A36" s="449"/>
      <c r="B36" s="453" t="s">
        <v>396</v>
      </c>
      <c r="C36" s="441"/>
      <c r="D36" s="523">
        <v>3120</v>
      </c>
      <c r="E36" s="523"/>
      <c r="F36" s="523">
        <f>SUM(F33:F35)</f>
        <v>6120</v>
      </c>
      <c r="G36" s="443"/>
      <c r="H36" s="524">
        <f>D36-F36</f>
        <v>-3000</v>
      </c>
      <c r="I36" s="523">
        <f>SUM(I33:I35)</f>
        <v>0</v>
      </c>
    </row>
    <row r="37" spans="1:9" ht="28.5" customHeight="1" x14ac:dyDescent="0.25">
      <c r="A37" s="70" t="s">
        <v>72</v>
      </c>
      <c r="B37" s="51" t="s">
        <v>73</v>
      </c>
      <c r="C37" s="56">
        <v>20000</v>
      </c>
      <c r="D37" s="521"/>
      <c r="E37" s="521"/>
      <c r="F37" s="521"/>
      <c r="G37" s="438"/>
      <c r="H37" s="521"/>
      <c r="I37" s="521"/>
    </row>
    <row r="38" spans="1:9" ht="63.75" x14ac:dyDescent="0.25">
      <c r="A38" s="70"/>
      <c r="B38" s="51" t="s">
        <v>834</v>
      </c>
      <c r="C38" s="56"/>
      <c r="D38" s="521"/>
      <c r="E38" s="521" t="s">
        <v>832</v>
      </c>
      <c r="F38" s="521">
        <v>5000</v>
      </c>
      <c r="G38" s="438" t="s">
        <v>835</v>
      </c>
      <c r="H38" s="521"/>
      <c r="I38" s="521"/>
    </row>
    <row r="39" spans="1:9" ht="63.75" x14ac:dyDescent="0.25">
      <c r="A39" s="70"/>
      <c r="B39" s="51" t="s">
        <v>865</v>
      </c>
      <c r="C39" s="56"/>
      <c r="D39" s="521"/>
      <c r="E39" s="521" t="s">
        <v>863</v>
      </c>
      <c r="F39" s="521">
        <v>5000</v>
      </c>
      <c r="G39" s="438" t="s">
        <v>866</v>
      </c>
      <c r="H39" s="521"/>
      <c r="I39" s="521"/>
    </row>
    <row r="40" spans="1:9" x14ac:dyDescent="0.25">
      <c r="A40" s="70"/>
      <c r="B40" s="51"/>
      <c r="C40" s="56"/>
      <c r="D40" s="521"/>
      <c r="E40" s="521"/>
      <c r="F40" s="521"/>
      <c r="G40" s="438"/>
      <c r="H40" s="521"/>
      <c r="I40" s="521"/>
    </row>
    <row r="41" spans="1:9" x14ac:dyDescent="0.25">
      <c r="A41" s="449"/>
      <c r="B41" s="440" t="s">
        <v>399</v>
      </c>
      <c r="C41" s="441"/>
      <c r="D41" s="523">
        <v>5000</v>
      </c>
      <c r="E41" s="523"/>
      <c r="F41" s="523">
        <f>SUM(F38:F40)</f>
        <v>10000</v>
      </c>
      <c r="G41" s="443"/>
      <c r="H41" s="524">
        <f>D41-F41</f>
        <v>-5000</v>
      </c>
      <c r="I41" s="523">
        <f>SUM(I38:I40)</f>
        <v>0</v>
      </c>
    </row>
    <row r="42" spans="1:9" x14ac:dyDescent="0.25">
      <c r="A42" s="70" t="s">
        <v>76</v>
      </c>
      <c r="B42" s="51" t="s">
        <v>77</v>
      </c>
      <c r="C42" s="56">
        <v>2000</v>
      </c>
      <c r="D42" s="521"/>
      <c r="E42" s="521"/>
      <c r="F42" s="521"/>
      <c r="G42" s="438"/>
      <c r="H42" s="521"/>
      <c r="I42" s="521"/>
    </row>
    <row r="43" spans="1:9" ht="63.75" x14ac:dyDescent="0.25">
      <c r="A43" s="70"/>
      <c r="B43" s="51" t="s">
        <v>831</v>
      </c>
      <c r="C43" s="56"/>
      <c r="D43" s="521"/>
      <c r="E43" s="521" t="s">
        <v>832</v>
      </c>
      <c r="F43" s="521">
        <v>400</v>
      </c>
      <c r="G43" s="438" t="s">
        <v>833</v>
      </c>
      <c r="H43" s="521"/>
      <c r="I43" s="521"/>
    </row>
    <row r="44" spans="1:9" ht="80.25" customHeight="1" x14ac:dyDescent="0.25">
      <c r="A44" s="70"/>
      <c r="B44" s="51" t="s">
        <v>869</v>
      </c>
      <c r="C44" s="56"/>
      <c r="D44" s="521"/>
      <c r="E44" s="521" t="s">
        <v>863</v>
      </c>
      <c r="F44" s="521">
        <v>500</v>
      </c>
      <c r="G44" s="438" t="s">
        <v>870</v>
      </c>
      <c r="H44" s="521"/>
      <c r="I44" s="521"/>
    </row>
    <row r="45" spans="1:9" ht="25.5" x14ac:dyDescent="0.25">
      <c r="A45" s="449"/>
      <c r="B45" s="440" t="s">
        <v>402</v>
      </c>
      <c r="C45" s="441"/>
      <c r="D45" s="523">
        <v>500</v>
      </c>
      <c r="E45" s="523"/>
      <c r="F45" s="523">
        <f>SUM(F43:F44)</f>
        <v>900</v>
      </c>
      <c r="G45" s="443"/>
      <c r="H45" s="524">
        <f>D45-F45</f>
        <v>-400</v>
      </c>
      <c r="I45" s="523">
        <f>SUM(I43:I44)</f>
        <v>0</v>
      </c>
    </row>
    <row r="46" spans="1:9" x14ac:dyDescent="0.25">
      <c r="A46" s="85"/>
      <c r="B46" s="451" t="s">
        <v>79</v>
      </c>
      <c r="C46" s="75">
        <f>SUM(C27:C42)</f>
        <v>36480</v>
      </c>
      <c r="D46" s="527">
        <f>SUM(D45,D41,D36,D31)</f>
        <v>8620</v>
      </c>
      <c r="E46" s="528"/>
      <c r="F46" s="527">
        <f>SUM(F45,F41,F36,F31)</f>
        <v>17020</v>
      </c>
      <c r="G46" s="455"/>
      <c r="H46" s="529">
        <f>D46-F46</f>
        <v>-8400</v>
      </c>
      <c r="I46" s="527">
        <f>SUM(I45,I41,I36,I31)</f>
        <v>0</v>
      </c>
    </row>
    <row r="47" spans="1:9" ht="63.75" x14ac:dyDescent="0.25">
      <c r="A47" s="445">
        <v>1.4</v>
      </c>
      <c r="B47" s="452" t="s">
        <v>80</v>
      </c>
      <c r="C47" s="352"/>
      <c r="D47" s="525"/>
      <c r="E47" s="525"/>
      <c r="F47" s="525"/>
      <c r="G47" s="447"/>
      <c r="H47" s="525"/>
      <c r="I47" s="525"/>
    </row>
    <row r="48" spans="1:9" x14ac:dyDescent="0.25">
      <c r="A48" s="90" t="s">
        <v>81</v>
      </c>
      <c r="B48" s="51" t="s">
        <v>82</v>
      </c>
      <c r="C48" s="56">
        <v>8000</v>
      </c>
      <c r="D48" s="521"/>
      <c r="E48" s="521"/>
      <c r="F48" s="521"/>
      <c r="G48" s="438"/>
      <c r="H48" s="521"/>
      <c r="I48" s="521"/>
    </row>
    <row r="49" spans="1:9" ht="51" x14ac:dyDescent="0.25">
      <c r="A49" s="90"/>
      <c r="B49" s="51" t="s">
        <v>763</v>
      </c>
      <c r="C49" s="56"/>
      <c r="D49" s="521"/>
      <c r="E49" s="521" t="s">
        <v>759</v>
      </c>
      <c r="F49" s="521">
        <v>2000</v>
      </c>
      <c r="G49" s="438" t="s">
        <v>764</v>
      </c>
      <c r="H49" s="521"/>
      <c r="I49" s="521"/>
    </row>
    <row r="50" spans="1:9" ht="51" x14ac:dyDescent="0.25">
      <c r="A50" s="90"/>
      <c r="B50" s="51" t="s">
        <v>811</v>
      </c>
      <c r="C50" s="56"/>
      <c r="D50" s="521"/>
      <c r="E50" s="521" t="s">
        <v>812</v>
      </c>
      <c r="F50" s="521">
        <v>2000</v>
      </c>
      <c r="G50" s="438" t="s">
        <v>813</v>
      </c>
      <c r="H50" s="521"/>
      <c r="I50" s="521"/>
    </row>
    <row r="51" spans="1:9" x14ac:dyDescent="0.25">
      <c r="A51" s="449"/>
      <c r="B51" s="440" t="s">
        <v>408</v>
      </c>
      <c r="C51" s="441"/>
      <c r="D51" s="523">
        <v>2000</v>
      </c>
      <c r="E51" s="523"/>
      <c r="F51" s="523">
        <f>F49+F50</f>
        <v>4000</v>
      </c>
      <c r="G51" s="443"/>
      <c r="H51" s="524">
        <f>D51-F51</f>
        <v>-2000</v>
      </c>
      <c r="I51" s="523"/>
    </row>
    <row r="52" spans="1:9" ht="25.5" x14ac:dyDescent="0.25">
      <c r="A52" s="90" t="s">
        <v>83</v>
      </c>
      <c r="B52" s="51" t="s">
        <v>84</v>
      </c>
      <c r="C52" s="56">
        <v>19680</v>
      </c>
      <c r="D52" s="521"/>
      <c r="E52" s="521"/>
      <c r="F52" s="521"/>
      <c r="G52" s="438"/>
      <c r="H52" s="521"/>
      <c r="I52" s="521"/>
    </row>
    <row r="53" spans="1:9" ht="63.75" x14ac:dyDescent="0.25">
      <c r="A53" s="90"/>
      <c r="B53" s="51" t="s">
        <v>773</v>
      </c>
      <c r="C53" s="56"/>
      <c r="D53" s="521"/>
      <c r="E53" s="521" t="s">
        <v>759</v>
      </c>
      <c r="F53" s="521">
        <v>4560</v>
      </c>
      <c r="G53" s="438" t="s">
        <v>774</v>
      </c>
      <c r="H53" s="521"/>
      <c r="I53" s="521"/>
    </row>
    <row r="54" spans="1:9" ht="63.75" x14ac:dyDescent="0.25">
      <c r="A54" s="90"/>
      <c r="B54" s="51" t="s">
        <v>816</v>
      </c>
      <c r="C54" s="56"/>
      <c r="D54" s="521"/>
      <c r="E54" s="521" t="s">
        <v>812</v>
      </c>
      <c r="F54" s="521">
        <v>4800</v>
      </c>
      <c r="G54" s="438" t="s">
        <v>817</v>
      </c>
      <c r="H54" s="521"/>
      <c r="I54" s="521"/>
    </row>
    <row r="55" spans="1:9" x14ac:dyDescent="0.25">
      <c r="A55" s="449"/>
      <c r="B55" s="440" t="s">
        <v>411</v>
      </c>
      <c r="C55" s="441"/>
      <c r="D55" s="523">
        <v>4920</v>
      </c>
      <c r="E55" s="523"/>
      <c r="F55" s="523">
        <f>SUM(F53:F54)</f>
        <v>9360</v>
      </c>
      <c r="G55" s="443"/>
      <c r="H55" s="524">
        <f>D55-F55</f>
        <v>-4440</v>
      </c>
      <c r="I55" s="523">
        <f>SUM(I53:I54)</f>
        <v>0</v>
      </c>
    </row>
    <row r="56" spans="1:9" ht="38.25" x14ac:dyDescent="0.25">
      <c r="A56" s="90" t="s">
        <v>85</v>
      </c>
      <c r="B56" s="51" t="s">
        <v>86</v>
      </c>
      <c r="C56" s="56">
        <v>30000</v>
      </c>
      <c r="D56" s="521"/>
      <c r="E56" s="521"/>
      <c r="F56" s="521"/>
      <c r="G56" s="438"/>
      <c r="H56" s="521"/>
      <c r="I56" s="521"/>
    </row>
    <row r="57" spans="1:9" ht="66.75" customHeight="1" x14ac:dyDescent="0.25">
      <c r="A57" s="90"/>
      <c r="B57" s="51" t="s">
        <v>762</v>
      </c>
      <c r="C57" s="56"/>
      <c r="D57" s="521"/>
      <c r="E57" s="521" t="s">
        <v>759</v>
      </c>
      <c r="F57" s="521">
        <v>5000</v>
      </c>
      <c r="G57" s="438" t="s">
        <v>760</v>
      </c>
      <c r="H57" s="521"/>
      <c r="I57" s="521"/>
    </row>
    <row r="58" spans="1:9" ht="63.75" x14ac:dyDescent="0.25">
      <c r="A58" s="90"/>
      <c r="B58" s="51" t="s">
        <v>815</v>
      </c>
      <c r="C58" s="56"/>
      <c r="D58" s="521"/>
      <c r="E58" s="521" t="s">
        <v>812</v>
      </c>
      <c r="F58" s="521">
        <v>5000</v>
      </c>
      <c r="G58" s="438" t="s">
        <v>814</v>
      </c>
      <c r="H58" s="521"/>
      <c r="I58" s="521"/>
    </row>
    <row r="59" spans="1:9" x14ac:dyDescent="0.25">
      <c r="A59" s="449"/>
      <c r="B59" s="440" t="s">
        <v>414</v>
      </c>
      <c r="C59" s="441"/>
      <c r="D59" s="523">
        <v>7500</v>
      </c>
      <c r="E59" s="523"/>
      <c r="F59" s="523">
        <f>SUM(F57:F58)</f>
        <v>10000</v>
      </c>
      <c r="G59" s="443"/>
      <c r="H59" s="524">
        <f>D59-F59</f>
        <v>-2500</v>
      </c>
      <c r="I59" s="523">
        <f>SUM(I57:I58)</f>
        <v>0</v>
      </c>
    </row>
    <row r="60" spans="1:9" x14ac:dyDescent="0.25">
      <c r="A60" s="90" t="s">
        <v>88</v>
      </c>
      <c r="B60" s="51" t="s">
        <v>77</v>
      </c>
      <c r="C60" s="56">
        <v>2000</v>
      </c>
      <c r="D60" s="521"/>
      <c r="E60" s="521"/>
      <c r="F60" s="521"/>
      <c r="G60" s="438"/>
      <c r="H60" s="521"/>
      <c r="I60" s="521"/>
    </row>
    <row r="61" spans="1:9" ht="63" customHeight="1" x14ac:dyDescent="0.25">
      <c r="A61" s="90"/>
      <c r="B61" s="51" t="s">
        <v>772</v>
      </c>
      <c r="C61" s="56"/>
      <c r="D61" s="521"/>
      <c r="E61" s="521" t="s">
        <v>759</v>
      </c>
      <c r="F61" s="521">
        <v>480</v>
      </c>
      <c r="G61" s="438" t="s">
        <v>771</v>
      </c>
      <c r="H61" s="521"/>
      <c r="I61" s="521"/>
    </row>
    <row r="62" spans="1:9" ht="66.75" customHeight="1" x14ac:dyDescent="0.25">
      <c r="A62" s="90"/>
      <c r="B62" s="51" t="s">
        <v>819</v>
      </c>
      <c r="C62" s="56"/>
      <c r="D62" s="521"/>
      <c r="E62" s="521" t="s">
        <v>812</v>
      </c>
      <c r="F62" s="521">
        <v>510</v>
      </c>
      <c r="G62" s="438" t="s">
        <v>820</v>
      </c>
      <c r="H62" s="521"/>
      <c r="I62" s="521"/>
    </row>
    <row r="63" spans="1:9" x14ac:dyDescent="0.25">
      <c r="A63" s="449"/>
      <c r="B63" s="440" t="s">
        <v>417</v>
      </c>
      <c r="C63" s="441"/>
      <c r="D63" s="523">
        <v>500</v>
      </c>
      <c r="E63" s="523"/>
      <c r="F63" s="523">
        <f>SUM(F61:F62)</f>
        <v>990</v>
      </c>
      <c r="G63" s="443"/>
      <c r="H63" s="524">
        <f>D63-F63</f>
        <v>-490</v>
      </c>
      <c r="I63" s="523"/>
    </row>
    <row r="64" spans="1:9" x14ac:dyDescent="0.25">
      <c r="A64" s="94"/>
      <c r="B64" s="457" t="s">
        <v>89</v>
      </c>
      <c r="C64" s="97">
        <f>SUM(C48:C60)</f>
        <v>59680</v>
      </c>
      <c r="D64" s="528">
        <f>SUM(D63,D59,D55,D51)</f>
        <v>14920</v>
      </c>
      <c r="E64" s="528"/>
      <c r="F64" s="528">
        <f>SUM(F63,F59,F55,F51)</f>
        <v>24350</v>
      </c>
      <c r="G64" s="455"/>
      <c r="H64" s="529">
        <f>D64-F64</f>
        <v>-9430</v>
      </c>
      <c r="I64" s="528"/>
    </row>
    <row r="65" spans="1:10" x14ac:dyDescent="0.25">
      <c r="A65" s="445">
        <v>1.5</v>
      </c>
      <c r="B65" s="452" t="s">
        <v>90</v>
      </c>
      <c r="C65" s="352"/>
      <c r="D65" s="525"/>
      <c r="E65" s="525"/>
      <c r="F65" s="525"/>
      <c r="G65" s="447"/>
      <c r="H65" s="525"/>
      <c r="I65" s="525"/>
    </row>
    <row r="66" spans="1:10" ht="44.25" customHeight="1" x14ac:dyDescent="0.25">
      <c r="A66" s="90" t="s">
        <v>91</v>
      </c>
      <c r="B66" s="51" t="s">
        <v>346</v>
      </c>
      <c r="C66" s="56">
        <v>157320</v>
      </c>
      <c r="D66" s="521"/>
      <c r="E66" s="521"/>
      <c r="F66" s="521"/>
      <c r="G66" s="438"/>
      <c r="H66" s="521"/>
      <c r="I66" s="571">
        <v>207500</v>
      </c>
      <c r="J66" s="458"/>
    </row>
    <row r="67" spans="1:10" ht="51" x14ac:dyDescent="0.25">
      <c r="A67" s="90"/>
      <c r="B67" s="51" t="s">
        <v>761</v>
      </c>
      <c r="C67" s="56"/>
      <c r="D67" s="521"/>
      <c r="E67" s="521" t="s">
        <v>759</v>
      </c>
      <c r="F67" s="521">
        <v>3500</v>
      </c>
      <c r="G67" s="438" t="s">
        <v>760</v>
      </c>
      <c r="H67" s="521"/>
      <c r="I67" s="521"/>
    </row>
    <row r="68" spans="1:10" x14ac:dyDescent="0.25">
      <c r="A68" s="449"/>
      <c r="B68" s="440" t="s">
        <v>418</v>
      </c>
      <c r="C68" s="441"/>
      <c r="D68" s="522"/>
      <c r="E68" s="523"/>
      <c r="F68" s="523">
        <f>SUM(F67:F67)</f>
        <v>3500</v>
      </c>
      <c r="G68" s="443"/>
      <c r="H68" s="524">
        <f>D68-F68</f>
        <v>-3500</v>
      </c>
      <c r="I68" s="572">
        <f>SUM(I66:I67)</f>
        <v>207500</v>
      </c>
    </row>
    <row r="69" spans="1:10" x14ac:dyDescent="0.25">
      <c r="A69" s="94"/>
      <c r="B69" s="457" t="s">
        <v>93</v>
      </c>
      <c r="C69" s="97">
        <f>C66</f>
        <v>157320</v>
      </c>
      <c r="D69" s="530">
        <f>D68</f>
        <v>0</v>
      </c>
      <c r="E69" s="528"/>
      <c r="F69" s="528">
        <f>F68</f>
        <v>3500</v>
      </c>
      <c r="G69" s="455"/>
      <c r="H69" s="529">
        <f>D69-F69</f>
        <v>-3500</v>
      </c>
      <c r="I69" s="528">
        <f>I68</f>
        <v>207500</v>
      </c>
    </row>
    <row r="70" spans="1:10" x14ac:dyDescent="0.25">
      <c r="A70" s="445">
        <v>1.6</v>
      </c>
      <c r="B70" s="452" t="s">
        <v>94</v>
      </c>
      <c r="C70" s="358"/>
      <c r="D70" s="525"/>
      <c r="E70" s="525"/>
      <c r="F70" s="525"/>
      <c r="G70" s="447"/>
      <c r="H70" s="525"/>
      <c r="I70" s="525"/>
    </row>
    <row r="71" spans="1:10" x14ac:dyDescent="0.25">
      <c r="A71" s="90" t="s">
        <v>95</v>
      </c>
      <c r="B71" s="51" t="s">
        <v>96</v>
      </c>
      <c r="C71" s="56"/>
      <c r="D71" s="521"/>
      <c r="E71" s="521"/>
      <c r="F71" s="521"/>
      <c r="G71" s="438"/>
      <c r="H71" s="521"/>
      <c r="I71" s="521"/>
    </row>
    <row r="72" spans="1:10" x14ac:dyDescent="0.25">
      <c r="A72" s="90"/>
      <c r="B72" s="51"/>
      <c r="C72" s="56"/>
      <c r="D72" s="521"/>
      <c r="E72" s="521"/>
      <c r="F72" s="521"/>
      <c r="G72" s="438"/>
      <c r="H72" s="521"/>
      <c r="I72" s="521"/>
    </row>
    <row r="73" spans="1:10" x14ac:dyDescent="0.25">
      <c r="A73" s="449"/>
      <c r="B73" s="440" t="s">
        <v>418</v>
      </c>
      <c r="C73" s="441"/>
      <c r="D73" s="522"/>
      <c r="E73" s="523"/>
      <c r="F73" s="523">
        <f>SUM(F72:F72)</f>
        <v>0</v>
      </c>
      <c r="G73" s="443"/>
      <c r="H73" s="524">
        <f>D73-F73</f>
        <v>0</v>
      </c>
      <c r="I73" s="523">
        <f>SUM(I72:I72)</f>
        <v>0</v>
      </c>
    </row>
    <row r="74" spans="1:10" ht="25.5" x14ac:dyDescent="0.25">
      <c r="A74" s="90" t="s">
        <v>99</v>
      </c>
      <c r="B74" s="84" t="s">
        <v>100</v>
      </c>
      <c r="C74" s="56"/>
      <c r="D74" s="521"/>
      <c r="E74" s="521"/>
      <c r="F74" s="521"/>
      <c r="G74" s="438"/>
      <c r="H74" s="521"/>
      <c r="I74" s="521"/>
    </row>
    <row r="75" spans="1:10" x14ac:dyDescent="0.25">
      <c r="A75" s="90"/>
      <c r="B75" s="84"/>
      <c r="C75" s="56"/>
      <c r="D75" s="521"/>
      <c r="E75" s="521"/>
      <c r="F75" s="521"/>
      <c r="G75" s="438"/>
      <c r="H75" s="521"/>
      <c r="I75" s="521"/>
    </row>
    <row r="76" spans="1:10" x14ac:dyDescent="0.25">
      <c r="A76" s="449"/>
      <c r="B76" s="440" t="s">
        <v>598</v>
      </c>
      <c r="C76" s="441"/>
      <c r="D76" s="522"/>
      <c r="E76" s="523"/>
      <c r="F76" s="523">
        <f>SUM(F75:F75)</f>
        <v>0</v>
      </c>
      <c r="G76" s="443"/>
      <c r="H76" s="524">
        <f>D76-F76</f>
        <v>0</v>
      </c>
      <c r="I76" s="523">
        <f>SUM(I75:I75)</f>
        <v>0</v>
      </c>
    </row>
    <row r="77" spans="1:10" ht="38.25" x14ac:dyDescent="0.25">
      <c r="A77" s="90" t="s">
        <v>101</v>
      </c>
      <c r="B77" s="51" t="s">
        <v>102</v>
      </c>
      <c r="C77" s="56"/>
      <c r="D77" s="521"/>
      <c r="E77" s="521"/>
      <c r="F77" s="521"/>
      <c r="G77" s="438"/>
      <c r="H77" s="521"/>
      <c r="I77" s="521"/>
    </row>
    <row r="78" spans="1:10" x14ac:dyDescent="0.25">
      <c r="A78" s="90"/>
      <c r="B78" s="51"/>
      <c r="C78" s="56"/>
      <c r="D78" s="521"/>
      <c r="E78" s="521"/>
      <c r="F78" s="521"/>
      <c r="G78" s="438"/>
      <c r="H78" s="521"/>
      <c r="I78" s="521"/>
    </row>
    <row r="79" spans="1:10" x14ac:dyDescent="0.25">
      <c r="A79" s="449"/>
      <c r="B79" s="440" t="s">
        <v>599</v>
      </c>
      <c r="C79" s="441"/>
      <c r="D79" s="522"/>
      <c r="E79" s="523"/>
      <c r="F79" s="523">
        <f>SUM(F78:F78)</f>
        <v>0</v>
      </c>
      <c r="G79" s="443"/>
      <c r="H79" s="524">
        <f>D79-F79</f>
        <v>0</v>
      </c>
      <c r="I79" s="523">
        <f>SUM(I78:I78)</f>
        <v>0</v>
      </c>
    </row>
    <row r="80" spans="1:10" x14ac:dyDescent="0.25">
      <c r="A80" s="90" t="s">
        <v>103</v>
      </c>
      <c r="B80" s="51" t="s">
        <v>104</v>
      </c>
      <c r="C80" s="56"/>
      <c r="D80" s="521"/>
      <c r="E80" s="521"/>
      <c r="F80" s="521"/>
      <c r="G80" s="438"/>
      <c r="H80" s="521"/>
      <c r="I80" s="521"/>
    </row>
    <row r="81" spans="1:10" x14ac:dyDescent="0.25">
      <c r="A81" s="90"/>
      <c r="B81" s="51"/>
      <c r="C81" s="56"/>
      <c r="D81" s="521"/>
      <c r="E81" s="521"/>
      <c r="F81" s="521"/>
      <c r="G81" s="438"/>
      <c r="H81" s="521"/>
      <c r="I81" s="521"/>
    </row>
    <row r="82" spans="1:10" x14ac:dyDescent="0.25">
      <c r="A82" s="449"/>
      <c r="B82" s="440" t="s">
        <v>600</v>
      </c>
      <c r="C82" s="441"/>
      <c r="D82" s="522"/>
      <c r="E82" s="523"/>
      <c r="F82" s="523">
        <f>SUM(F81:F81)</f>
        <v>0</v>
      </c>
      <c r="G82" s="443"/>
      <c r="H82" s="524">
        <f>D82-F82</f>
        <v>0</v>
      </c>
      <c r="I82" s="523">
        <f>SUM(I81:I81)</f>
        <v>0</v>
      </c>
    </row>
    <row r="83" spans="1:10" ht="21.75" customHeight="1" x14ac:dyDescent="0.25">
      <c r="A83" s="94"/>
      <c r="B83" s="457" t="s">
        <v>105</v>
      </c>
      <c r="C83" s="97">
        <f>SUM(C71:C80)</f>
        <v>0</v>
      </c>
      <c r="D83" s="531">
        <v>0</v>
      </c>
      <c r="E83" s="528"/>
      <c r="F83" s="531">
        <f>SUM(F82+F79+F76+F73)</f>
        <v>0</v>
      </c>
      <c r="G83" s="455"/>
      <c r="H83" s="529">
        <f>D83-F83</f>
        <v>0</v>
      </c>
      <c r="I83" s="531">
        <f>SUM(I82+I79+I76+I73)</f>
        <v>0</v>
      </c>
      <c r="J83" s="461"/>
    </row>
    <row r="84" spans="1:10" x14ac:dyDescent="0.25">
      <c r="A84" s="359"/>
      <c r="B84" s="462" t="s">
        <v>106</v>
      </c>
      <c r="C84" s="98">
        <f>SUM(C83,C69,C64,C46,C25)</f>
        <v>333400</v>
      </c>
      <c r="D84" s="532">
        <f>SUM(D83,D69,D64,D46,D25)</f>
        <v>43520</v>
      </c>
      <c r="E84" s="533"/>
      <c r="F84" s="532">
        <f>SUM(F83,F69,F64,F46,F25,F18)</f>
        <v>63605</v>
      </c>
      <c r="G84" s="464"/>
      <c r="H84" s="534">
        <f>D84-F84</f>
        <v>-20085</v>
      </c>
      <c r="I84" s="532">
        <f>SUM(I83,I69,I64,I46,I25,I18)</f>
        <v>207500</v>
      </c>
    </row>
    <row r="85" spans="1:10" x14ac:dyDescent="0.25">
      <c r="A85" s="116"/>
      <c r="B85" s="466" t="s">
        <v>107</v>
      </c>
      <c r="C85" s="119"/>
      <c r="D85" s="535"/>
      <c r="E85" s="535"/>
      <c r="F85" s="535"/>
      <c r="G85" s="467"/>
      <c r="H85" s="535"/>
      <c r="I85" s="535"/>
    </row>
    <row r="86" spans="1:10" ht="74.25" customHeight="1" x14ac:dyDescent="0.25">
      <c r="A86" s="445">
        <v>2.1</v>
      </c>
      <c r="B86" s="452" t="s">
        <v>108</v>
      </c>
      <c r="C86" s="363"/>
      <c r="D86" s="536"/>
      <c r="E86" s="536"/>
      <c r="F86" s="536"/>
      <c r="G86" s="468"/>
      <c r="H86" s="536"/>
      <c r="I86" s="536"/>
    </row>
    <row r="87" spans="1:10" x14ac:dyDescent="0.25">
      <c r="A87" s="124" t="s">
        <v>109</v>
      </c>
      <c r="B87" s="51" t="s">
        <v>110</v>
      </c>
      <c r="C87" s="56">
        <v>8000</v>
      </c>
      <c r="D87" s="521"/>
      <c r="E87" s="521"/>
      <c r="F87" s="521"/>
      <c r="G87" s="438"/>
      <c r="H87" s="521"/>
      <c r="I87" s="521"/>
    </row>
    <row r="88" spans="1:10" ht="51" x14ac:dyDescent="0.25">
      <c r="A88" s="124"/>
      <c r="B88" s="51" t="s">
        <v>891</v>
      </c>
      <c r="C88" s="56"/>
      <c r="D88" s="521"/>
      <c r="E88" s="521" t="s">
        <v>874</v>
      </c>
      <c r="F88" s="521">
        <v>180</v>
      </c>
      <c r="G88" s="438" t="s">
        <v>889</v>
      </c>
      <c r="H88" s="521"/>
      <c r="I88" s="521"/>
    </row>
    <row r="89" spans="1:10" ht="51" x14ac:dyDescent="0.25">
      <c r="A89" s="124"/>
      <c r="B89" s="51" t="s">
        <v>893</v>
      </c>
      <c r="C89" s="56"/>
      <c r="D89" s="521"/>
      <c r="E89" s="521" t="s">
        <v>874</v>
      </c>
      <c r="F89" s="521">
        <v>1750</v>
      </c>
      <c r="G89" s="438" t="s">
        <v>894</v>
      </c>
      <c r="H89" s="521"/>
      <c r="I89" s="521"/>
    </row>
    <row r="90" spans="1:10" x14ac:dyDescent="0.25">
      <c r="A90" s="469"/>
      <c r="B90" s="440" t="s">
        <v>422</v>
      </c>
      <c r="C90" s="441"/>
      <c r="D90" s="523">
        <v>2000</v>
      </c>
      <c r="E90" s="523"/>
      <c r="F90" s="523">
        <f>SUM(F88:F89)</f>
        <v>1930</v>
      </c>
      <c r="G90" s="443"/>
      <c r="H90" s="524">
        <f>D90-F90</f>
        <v>70</v>
      </c>
      <c r="I90" s="523">
        <f>SUM(I88:I89)</f>
        <v>0</v>
      </c>
    </row>
    <row r="91" spans="1:10" ht="25.5" x14ac:dyDescent="0.25">
      <c r="A91" s="124" t="s">
        <v>111</v>
      </c>
      <c r="B91" s="51" t="s">
        <v>112</v>
      </c>
      <c r="C91" s="56">
        <v>19680</v>
      </c>
      <c r="D91" s="521"/>
      <c r="E91" s="521"/>
      <c r="F91" s="521"/>
      <c r="G91" s="438"/>
      <c r="H91" s="521"/>
      <c r="I91" s="521"/>
    </row>
    <row r="92" spans="1:10" ht="51" x14ac:dyDescent="0.25">
      <c r="A92" s="124"/>
      <c r="B92" s="51" t="s">
        <v>879</v>
      </c>
      <c r="C92" s="56"/>
      <c r="D92" s="521"/>
      <c r="E92" s="521" t="s">
        <v>874</v>
      </c>
      <c r="F92" s="521">
        <v>4680</v>
      </c>
      <c r="G92" s="438" t="s">
        <v>880</v>
      </c>
      <c r="H92" s="521"/>
      <c r="I92" s="521"/>
    </row>
    <row r="93" spans="1:10" x14ac:dyDescent="0.25">
      <c r="A93" s="124"/>
      <c r="B93" s="51"/>
      <c r="C93" s="56"/>
      <c r="D93" s="521"/>
      <c r="E93" s="521"/>
      <c r="F93" s="521"/>
      <c r="G93" s="438"/>
      <c r="H93" s="521"/>
      <c r="I93" s="521"/>
    </row>
    <row r="94" spans="1:10" x14ac:dyDescent="0.25">
      <c r="A94" s="469"/>
      <c r="B94" s="440" t="s">
        <v>425</v>
      </c>
      <c r="C94" s="441"/>
      <c r="D94" s="523">
        <v>4920</v>
      </c>
      <c r="E94" s="523"/>
      <c r="F94" s="523">
        <f>SUM(F92:F93)</f>
        <v>4680</v>
      </c>
      <c r="G94" s="443"/>
      <c r="H94" s="524">
        <f>D94-F94</f>
        <v>240</v>
      </c>
      <c r="I94" s="523">
        <f>SUM(I92:I93)</f>
        <v>0</v>
      </c>
    </row>
    <row r="95" spans="1:10" ht="25.5" x14ac:dyDescent="0.25">
      <c r="A95" s="124" t="s">
        <v>113</v>
      </c>
      <c r="B95" s="51" t="s">
        <v>114</v>
      </c>
      <c r="C95" s="56">
        <v>20000</v>
      </c>
      <c r="D95" s="521"/>
      <c r="E95" s="521"/>
      <c r="F95" s="521"/>
      <c r="G95" s="438"/>
      <c r="H95" s="521"/>
      <c r="I95" s="521"/>
    </row>
    <row r="96" spans="1:10" ht="63.75" x14ac:dyDescent="0.25">
      <c r="A96" s="124"/>
      <c r="B96" s="51" t="s">
        <v>885</v>
      </c>
      <c r="C96" s="56"/>
      <c r="D96" s="521"/>
      <c r="E96" s="521" t="s">
        <v>874</v>
      </c>
      <c r="F96" s="521">
        <v>5000</v>
      </c>
      <c r="G96" s="438" t="s">
        <v>886</v>
      </c>
      <c r="H96" s="521"/>
      <c r="I96" s="521"/>
    </row>
    <row r="97" spans="1:9" x14ac:dyDescent="0.25">
      <c r="A97" s="124"/>
      <c r="B97" s="51"/>
      <c r="C97" s="56"/>
      <c r="D97" s="521"/>
      <c r="E97" s="521"/>
      <c r="F97" s="521"/>
      <c r="G97" s="438"/>
      <c r="H97" s="521"/>
      <c r="I97" s="521"/>
    </row>
    <row r="98" spans="1:9" x14ac:dyDescent="0.25">
      <c r="A98" s="469"/>
      <c r="B98" s="440" t="s">
        <v>427</v>
      </c>
      <c r="C98" s="441"/>
      <c r="D98" s="523">
        <v>5000</v>
      </c>
      <c r="E98" s="523"/>
      <c r="F98" s="523">
        <f>SUM(F96:F97)</f>
        <v>5000</v>
      </c>
      <c r="G98" s="443"/>
      <c r="H98" s="524">
        <f>D98-F98</f>
        <v>0</v>
      </c>
      <c r="I98" s="523">
        <f>SUM(I96:I97)</f>
        <v>0</v>
      </c>
    </row>
    <row r="99" spans="1:9" x14ac:dyDescent="0.25">
      <c r="A99" s="124" t="s">
        <v>116</v>
      </c>
      <c r="B99" s="51" t="s">
        <v>117</v>
      </c>
      <c r="C99" s="56">
        <v>2000</v>
      </c>
      <c r="D99" s="521"/>
      <c r="E99" s="521"/>
      <c r="F99" s="521"/>
      <c r="G99" s="438"/>
      <c r="H99" s="521"/>
      <c r="I99" s="521"/>
    </row>
    <row r="100" spans="1:9" ht="51" x14ac:dyDescent="0.25">
      <c r="A100" s="124"/>
      <c r="B100" s="51" t="s">
        <v>877</v>
      </c>
      <c r="C100" s="56"/>
      <c r="D100" s="521"/>
      <c r="E100" s="521" t="s">
        <v>874</v>
      </c>
      <c r="F100" s="521">
        <v>495</v>
      </c>
      <c r="G100" s="438" t="s">
        <v>873</v>
      </c>
      <c r="H100" s="521"/>
      <c r="I100" s="521"/>
    </row>
    <row r="101" spans="1:9" x14ac:dyDescent="0.25">
      <c r="A101" s="124"/>
      <c r="B101" s="51"/>
      <c r="C101" s="56"/>
      <c r="D101" s="521"/>
      <c r="E101" s="521"/>
      <c r="F101" s="521"/>
      <c r="G101" s="438"/>
      <c r="H101" s="521"/>
      <c r="I101" s="521"/>
    </row>
    <row r="102" spans="1:9" ht="25.5" x14ac:dyDescent="0.25">
      <c r="A102" s="469"/>
      <c r="B102" s="440" t="s">
        <v>430</v>
      </c>
      <c r="C102" s="441"/>
      <c r="D102" s="523">
        <v>500</v>
      </c>
      <c r="E102" s="523"/>
      <c r="F102" s="523">
        <f>SUM(F100:F101)</f>
        <v>495</v>
      </c>
      <c r="G102" s="443"/>
      <c r="H102" s="524">
        <f>D102-F102</f>
        <v>5</v>
      </c>
      <c r="I102" s="523">
        <f>SUM(I100:I101)</f>
        <v>0</v>
      </c>
    </row>
    <row r="103" spans="1:9" x14ac:dyDescent="0.25">
      <c r="A103" s="94"/>
      <c r="B103" s="457" t="s">
        <v>118</v>
      </c>
      <c r="C103" s="97">
        <f>SUM(C87:C99)</f>
        <v>49680</v>
      </c>
      <c r="D103" s="528">
        <f>SUM(D102,D98,D94,D90)</f>
        <v>12420</v>
      </c>
      <c r="E103" s="528"/>
      <c r="F103" s="528">
        <f>SUM(F102,F98,F94,F90)</f>
        <v>12105</v>
      </c>
      <c r="G103" s="455"/>
      <c r="H103" s="529">
        <f>D103-F103</f>
        <v>315</v>
      </c>
      <c r="I103" s="528">
        <f>SUM(I102,I98,I94,I90)</f>
        <v>0</v>
      </c>
    </row>
    <row r="104" spans="1:9" ht="38.25" x14ac:dyDescent="0.25">
      <c r="A104" s="445">
        <v>2.2000000000000002</v>
      </c>
      <c r="B104" s="452" t="s">
        <v>119</v>
      </c>
      <c r="C104" s="363"/>
      <c r="D104" s="525"/>
      <c r="E104" s="525"/>
      <c r="F104" s="525"/>
      <c r="G104" s="447"/>
      <c r="H104" s="525"/>
      <c r="I104" s="525"/>
    </row>
    <row r="105" spans="1:9" x14ac:dyDescent="0.25">
      <c r="A105" s="124" t="s">
        <v>120</v>
      </c>
      <c r="B105" s="51" t="s">
        <v>121</v>
      </c>
      <c r="C105" s="56">
        <v>5000</v>
      </c>
      <c r="D105" s="521"/>
      <c r="E105" s="521"/>
      <c r="F105" s="521"/>
      <c r="G105" s="438"/>
      <c r="H105" s="521"/>
      <c r="I105" s="521"/>
    </row>
    <row r="106" spans="1:9" x14ac:dyDescent="0.25">
      <c r="A106" s="124"/>
      <c r="B106" s="51"/>
      <c r="C106" s="56"/>
      <c r="D106" s="521"/>
      <c r="E106" s="521"/>
      <c r="F106" s="521"/>
      <c r="G106" s="438"/>
      <c r="H106" s="521"/>
      <c r="I106" s="521"/>
    </row>
    <row r="107" spans="1:9" x14ac:dyDescent="0.25">
      <c r="A107" s="124"/>
      <c r="B107" s="51"/>
      <c r="C107" s="56"/>
      <c r="D107" s="521"/>
      <c r="E107" s="521"/>
      <c r="F107" s="521"/>
      <c r="G107" s="438"/>
      <c r="H107" s="521"/>
      <c r="I107" s="521"/>
    </row>
    <row r="108" spans="1:9" x14ac:dyDescent="0.25">
      <c r="A108" s="469"/>
      <c r="B108" s="440" t="s">
        <v>431</v>
      </c>
      <c r="C108" s="441"/>
      <c r="D108" s="523">
        <v>0</v>
      </c>
      <c r="E108" s="523"/>
      <c r="F108" s="523">
        <f>SUM(F106:F107)</f>
        <v>0</v>
      </c>
      <c r="G108" s="443"/>
      <c r="H108" s="524">
        <f>D108-F108</f>
        <v>0</v>
      </c>
      <c r="I108" s="523">
        <f>SUM(I106:I107)</f>
        <v>0</v>
      </c>
    </row>
    <row r="109" spans="1:9" ht="25.5" x14ac:dyDescent="0.25">
      <c r="A109" s="124" t="s">
        <v>122</v>
      </c>
      <c r="B109" s="51" t="s">
        <v>123</v>
      </c>
      <c r="C109" s="56">
        <v>9840</v>
      </c>
      <c r="D109" s="521"/>
      <c r="E109" s="521"/>
      <c r="F109" s="521"/>
      <c r="G109" s="438"/>
      <c r="H109" s="521"/>
      <c r="I109" s="521"/>
    </row>
    <row r="110" spans="1:9" x14ac:dyDescent="0.25">
      <c r="A110" s="124"/>
      <c r="B110" s="51"/>
      <c r="C110" s="56"/>
      <c r="D110" s="521"/>
      <c r="E110" s="521"/>
      <c r="F110" s="521"/>
      <c r="G110" s="438"/>
      <c r="H110" s="521"/>
      <c r="I110" s="521"/>
    </row>
    <row r="111" spans="1:9" x14ac:dyDescent="0.25">
      <c r="A111" s="124"/>
      <c r="B111" s="51"/>
      <c r="C111" s="56"/>
      <c r="D111" s="521"/>
      <c r="E111" s="521"/>
      <c r="F111" s="521"/>
      <c r="G111" s="438"/>
      <c r="H111" s="521"/>
      <c r="I111" s="521"/>
    </row>
    <row r="112" spans="1:9" x14ac:dyDescent="0.25">
      <c r="A112" s="469"/>
      <c r="B112" s="440" t="s">
        <v>432</v>
      </c>
      <c r="C112" s="441"/>
      <c r="D112" s="523">
        <v>0</v>
      </c>
      <c r="E112" s="523"/>
      <c r="F112" s="523">
        <f>SUM(F110:F111)</f>
        <v>0</v>
      </c>
      <c r="G112" s="443"/>
      <c r="H112" s="524">
        <f>D112-F112</f>
        <v>0</v>
      </c>
      <c r="I112" s="523">
        <f>SUM(I110:I111)</f>
        <v>0</v>
      </c>
    </row>
    <row r="113" spans="1:9" ht="25.5" x14ac:dyDescent="0.25">
      <c r="A113" s="124" t="s">
        <v>124</v>
      </c>
      <c r="B113" s="51" t="s">
        <v>125</v>
      </c>
      <c r="C113" s="56">
        <v>10000</v>
      </c>
      <c r="D113" s="521"/>
      <c r="E113" s="521"/>
      <c r="F113" s="521"/>
      <c r="G113" s="438"/>
      <c r="H113" s="521"/>
      <c r="I113" s="521"/>
    </row>
    <row r="114" spans="1:9" x14ac:dyDescent="0.25">
      <c r="A114" s="124"/>
      <c r="B114" s="51"/>
      <c r="C114" s="56"/>
      <c r="D114" s="521"/>
      <c r="E114" s="521"/>
      <c r="F114" s="521"/>
      <c r="G114" s="438"/>
      <c r="H114" s="521"/>
      <c r="I114" s="521"/>
    </row>
    <row r="115" spans="1:9" x14ac:dyDescent="0.25">
      <c r="A115" s="124"/>
      <c r="B115" s="51"/>
      <c r="C115" s="56"/>
      <c r="D115" s="521"/>
      <c r="E115" s="521"/>
      <c r="F115" s="521"/>
      <c r="G115" s="438"/>
      <c r="H115" s="521"/>
      <c r="I115" s="521"/>
    </row>
    <row r="116" spans="1:9" x14ac:dyDescent="0.25">
      <c r="A116" s="469"/>
      <c r="B116" s="440" t="s">
        <v>433</v>
      </c>
      <c r="C116" s="441"/>
      <c r="D116" s="523">
        <v>0</v>
      </c>
      <c r="E116" s="523"/>
      <c r="F116" s="523">
        <f>SUM(F114:F115)</f>
        <v>0</v>
      </c>
      <c r="G116" s="443"/>
      <c r="H116" s="524">
        <f>D116-F116</f>
        <v>0</v>
      </c>
      <c r="I116" s="523">
        <f>SUM(I114:I115)</f>
        <v>0</v>
      </c>
    </row>
    <row r="117" spans="1:9" x14ac:dyDescent="0.25">
      <c r="A117" s="124" t="s">
        <v>127</v>
      </c>
      <c r="B117" s="51" t="s">
        <v>117</v>
      </c>
      <c r="C117" s="56">
        <v>1000</v>
      </c>
      <c r="D117" s="521"/>
      <c r="E117" s="521"/>
      <c r="F117" s="521"/>
      <c r="G117" s="438"/>
      <c r="H117" s="521"/>
      <c r="I117" s="521"/>
    </row>
    <row r="118" spans="1:9" x14ac:dyDescent="0.25">
      <c r="A118" s="124"/>
      <c r="B118" s="51"/>
      <c r="C118" s="56"/>
      <c r="D118" s="521"/>
      <c r="E118" s="521"/>
      <c r="F118" s="521"/>
      <c r="G118" s="438"/>
      <c r="H118" s="521"/>
      <c r="I118" s="521"/>
    </row>
    <row r="119" spans="1:9" x14ac:dyDescent="0.25">
      <c r="A119" s="124"/>
      <c r="B119" s="51"/>
      <c r="C119" s="56"/>
      <c r="D119" s="521"/>
      <c r="E119" s="521"/>
      <c r="F119" s="521"/>
      <c r="G119" s="438"/>
      <c r="H119" s="521"/>
      <c r="I119" s="521"/>
    </row>
    <row r="120" spans="1:9" x14ac:dyDescent="0.25">
      <c r="A120" s="469"/>
      <c r="B120" s="440" t="s">
        <v>434</v>
      </c>
      <c r="C120" s="441"/>
      <c r="D120" s="523">
        <v>0</v>
      </c>
      <c r="E120" s="523"/>
      <c r="F120" s="523">
        <f>SUM(F118:F119)</f>
        <v>0</v>
      </c>
      <c r="G120" s="443"/>
      <c r="H120" s="524">
        <f>D120-F120</f>
        <v>0</v>
      </c>
      <c r="I120" s="523">
        <f>SUM(I118:I119)</f>
        <v>0</v>
      </c>
    </row>
    <row r="121" spans="1:9" x14ac:dyDescent="0.25">
      <c r="A121" s="94"/>
      <c r="B121" s="457" t="s">
        <v>128</v>
      </c>
      <c r="C121" s="97">
        <f>SUM(C105:C117)</f>
        <v>25840</v>
      </c>
      <c r="D121" s="528">
        <f>SUM(D120,D116,D112,D108)</f>
        <v>0</v>
      </c>
      <c r="E121" s="528"/>
      <c r="F121" s="528">
        <f>SUM(F120,F116,F112,F108)</f>
        <v>0</v>
      </c>
      <c r="G121" s="455"/>
      <c r="H121" s="529">
        <f>D121-F121</f>
        <v>0</v>
      </c>
      <c r="I121" s="528">
        <f>SUM(I120,I116,I112,I108)</f>
        <v>0</v>
      </c>
    </row>
    <row r="122" spans="1:9" ht="25.5" x14ac:dyDescent="0.25">
      <c r="A122" s="445">
        <v>2.2999999999999998</v>
      </c>
      <c r="B122" s="452" t="s">
        <v>129</v>
      </c>
      <c r="C122" s="363"/>
      <c r="D122" s="525"/>
      <c r="E122" s="525"/>
      <c r="F122" s="525"/>
      <c r="G122" s="447"/>
      <c r="H122" s="525"/>
      <c r="I122" s="525"/>
    </row>
    <row r="123" spans="1:9" x14ac:dyDescent="0.25">
      <c r="A123" s="124" t="s">
        <v>130</v>
      </c>
      <c r="B123" s="51" t="s">
        <v>121</v>
      </c>
      <c r="C123" s="56">
        <v>5000</v>
      </c>
      <c r="D123" s="521"/>
      <c r="E123" s="521"/>
      <c r="F123" s="521"/>
      <c r="G123" s="438"/>
      <c r="H123" s="521"/>
      <c r="I123" s="521"/>
    </row>
    <row r="124" spans="1:9" ht="56.25" customHeight="1" x14ac:dyDescent="0.25">
      <c r="A124" s="124"/>
      <c r="B124" s="51"/>
      <c r="C124" s="56"/>
      <c r="D124" s="521"/>
      <c r="E124" s="521"/>
      <c r="F124" s="521"/>
      <c r="G124" s="438"/>
      <c r="H124" s="521"/>
      <c r="I124" s="521"/>
    </row>
    <row r="125" spans="1:9" x14ac:dyDescent="0.25">
      <c r="A125" s="124"/>
      <c r="B125" s="51"/>
      <c r="C125" s="56"/>
      <c r="D125" s="521"/>
      <c r="E125" s="521"/>
      <c r="F125" s="521"/>
      <c r="G125" s="438"/>
      <c r="H125" s="521"/>
      <c r="I125" s="521"/>
    </row>
    <row r="126" spans="1:9" x14ac:dyDescent="0.25">
      <c r="A126" s="469"/>
      <c r="B126" s="440" t="s">
        <v>435</v>
      </c>
      <c r="C126" s="441"/>
      <c r="D126" s="523"/>
      <c r="E126" s="523"/>
      <c r="F126" s="523">
        <f>SUM(F124:F125)</f>
        <v>0</v>
      </c>
      <c r="G126" s="443"/>
      <c r="H126" s="524">
        <f>D126-F126</f>
        <v>0</v>
      </c>
      <c r="I126" s="523">
        <f>SUM(I124:I125)</f>
        <v>0</v>
      </c>
    </row>
    <row r="127" spans="1:9" ht="30.75" customHeight="1" x14ac:dyDescent="0.25">
      <c r="A127" s="124" t="s">
        <v>132</v>
      </c>
      <c r="B127" s="51" t="s">
        <v>133</v>
      </c>
      <c r="C127" s="56">
        <v>6480</v>
      </c>
      <c r="D127" s="521"/>
      <c r="E127" s="521"/>
      <c r="F127" s="521"/>
      <c r="G127" s="438"/>
      <c r="H127" s="521"/>
      <c r="I127" s="521"/>
    </row>
    <row r="128" spans="1:9" ht="63.75" customHeight="1" x14ac:dyDescent="0.25">
      <c r="A128" s="124"/>
      <c r="B128" s="51"/>
      <c r="C128" s="56"/>
      <c r="D128" s="521"/>
      <c r="E128" s="521"/>
      <c r="F128" s="521"/>
      <c r="G128" s="438"/>
      <c r="H128" s="521"/>
      <c r="I128" s="521"/>
    </row>
    <row r="129" spans="1:9" x14ac:dyDescent="0.25">
      <c r="A129" s="124"/>
      <c r="B129" s="51"/>
      <c r="C129" s="56"/>
      <c r="D129" s="521"/>
      <c r="E129" s="521"/>
      <c r="F129" s="521"/>
      <c r="G129" s="438"/>
      <c r="H129" s="521"/>
      <c r="I129" s="521"/>
    </row>
    <row r="130" spans="1:9" x14ac:dyDescent="0.25">
      <c r="A130" s="469"/>
      <c r="B130" s="440" t="s">
        <v>436</v>
      </c>
      <c r="C130" s="441"/>
      <c r="D130" s="523"/>
      <c r="E130" s="523"/>
      <c r="F130" s="523">
        <f>SUM(F128:F129)</f>
        <v>0</v>
      </c>
      <c r="G130" s="443"/>
      <c r="H130" s="524">
        <f>D130-F130</f>
        <v>0</v>
      </c>
      <c r="I130" s="523">
        <f>SUM(I128:I129)</f>
        <v>0</v>
      </c>
    </row>
    <row r="131" spans="1:9" ht="30" customHeight="1" x14ac:dyDescent="0.25">
      <c r="A131" s="124" t="s">
        <v>135</v>
      </c>
      <c r="B131" s="51" t="s">
        <v>136</v>
      </c>
      <c r="C131" s="56">
        <v>10000</v>
      </c>
      <c r="D131" s="521"/>
      <c r="E131" s="521"/>
      <c r="F131" s="521"/>
      <c r="G131" s="438"/>
      <c r="H131" s="521"/>
      <c r="I131" s="521"/>
    </row>
    <row r="132" spans="1:9" ht="64.5" customHeight="1" x14ac:dyDescent="0.25">
      <c r="A132" s="124"/>
      <c r="B132" s="51"/>
      <c r="C132" s="56"/>
      <c r="D132" s="521"/>
      <c r="E132" s="521"/>
      <c r="F132" s="521"/>
      <c r="G132" s="438"/>
      <c r="H132" s="521"/>
      <c r="I132" s="521"/>
    </row>
    <row r="133" spans="1:9" x14ac:dyDescent="0.25">
      <c r="A133" s="124"/>
      <c r="B133" s="51"/>
      <c r="C133" s="56"/>
      <c r="D133" s="521"/>
      <c r="E133" s="521"/>
      <c r="F133" s="521"/>
      <c r="G133" s="438"/>
      <c r="H133" s="521"/>
      <c r="I133" s="521"/>
    </row>
    <row r="134" spans="1:9" x14ac:dyDescent="0.25">
      <c r="A134" s="469"/>
      <c r="B134" s="440" t="s">
        <v>437</v>
      </c>
      <c r="C134" s="441"/>
      <c r="D134" s="523"/>
      <c r="E134" s="523"/>
      <c r="F134" s="523">
        <f>SUM(F132:F133)</f>
        <v>0</v>
      </c>
      <c r="G134" s="443"/>
      <c r="H134" s="524">
        <f>D134-F134</f>
        <v>0</v>
      </c>
      <c r="I134" s="523">
        <f>SUM(I132:I133)</f>
        <v>0</v>
      </c>
    </row>
    <row r="135" spans="1:9" x14ac:dyDescent="0.25">
      <c r="A135" s="124" t="s">
        <v>139</v>
      </c>
      <c r="B135" s="51" t="s">
        <v>77</v>
      </c>
      <c r="C135" s="56">
        <v>1000</v>
      </c>
      <c r="D135" s="521"/>
      <c r="E135" s="521"/>
      <c r="F135" s="521"/>
      <c r="G135" s="438"/>
      <c r="H135" s="521"/>
      <c r="I135" s="521"/>
    </row>
    <row r="136" spans="1:9" ht="53.25" customHeight="1" x14ac:dyDescent="0.25">
      <c r="A136" s="124"/>
      <c r="B136" s="51"/>
      <c r="C136" s="56"/>
      <c r="D136" s="521"/>
      <c r="E136" s="521"/>
      <c r="F136" s="521"/>
      <c r="G136" s="438"/>
      <c r="H136" s="521"/>
      <c r="I136" s="521"/>
    </row>
    <row r="137" spans="1:9" ht="61.5" customHeight="1" x14ac:dyDescent="0.25">
      <c r="A137" s="124"/>
      <c r="B137" s="51"/>
      <c r="C137" s="56"/>
      <c r="D137" s="521"/>
      <c r="E137" s="521"/>
      <c r="F137" s="521"/>
      <c r="G137" s="438"/>
      <c r="H137" s="521"/>
      <c r="I137" s="521"/>
    </row>
    <row r="138" spans="1:9" x14ac:dyDescent="0.25">
      <c r="A138" s="124"/>
      <c r="B138" s="51"/>
      <c r="C138" s="56"/>
      <c r="D138" s="521"/>
      <c r="E138" s="521"/>
      <c r="F138" s="521"/>
      <c r="G138" s="438"/>
      <c r="H138" s="521"/>
      <c r="I138" s="521"/>
    </row>
    <row r="139" spans="1:9" x14ac:dyDescent="0.25">
      <c r="A139" s="469"/>
      <c r="B139" s="440" t="s">
        <v>438</v>
      </c>
      <c r="C139" s="441"/>
      <c r="D139" s="523"/>
      <c r="E139" s="523"/>
      <c r="F139" s="523">
        <f>SUM(F136:F138)</f>
        <v>0</v>
      </c>
      <c r="G139" s="443"/>
      <c r="H139" s="524">
        <f>D139-F139</f>
        <v>0</v>
      </c>
      <c r="I139" s="523">
        <f>SUM(I136:I138)</f>
        <v>0</v>
      </c>
    </row>
    <row r="140" spans="1:9" x14ac:dyDescent="0.25">
      <c r="A140" s="94"/>
      <c r="B140" s="457" t="s">
        <v>141</v>
      </c>
      <c r="C140" s="97">
        <f>SUM(C123:C135)</f>
        <v>22480</v>
      </c>
      <c r="D140" s="528">
        <f>SUM(D139,D134,D130,D126)</f>
        <v>0</v>
      </c>
      <c r="E140" s="528"/>
      <c r="F140" s="528">
        <f>SUM(F139,F134,F130,F126)</f>
        <v>0</v>
      </c>
      <c r="G140" s="455"/>
      <c r="H140" s="529">
        <f>D140-F140</f>
        <v>0</v>
      </c>
      <c r="I140" s="528">
        <f>SUM(I139,I134,I130,I126)</f>
        <v>0</v>
      </c>
    </row>
    <row r="141" spans="1:9" ht="25.5" x14ac:dyDescent="0.25">
      <c r="A141" s="445">
        <v>2.4</v>
      </c>
      <c r="B141" s="452" t="s">
        <v>142</v>
      </c>
      <c r="C141" s="363"/>
      <c r="D141" s="525"/>
      <c r="E141" s="525"/>
      <c r="F141" s="525"/>
      <c r="G141" s="447"/>
      <c r="H141" s="525"/>
      <c r="I141" s="525"/>
    </row>
    <row r="142" spans="1:9" x14ac:dyDescent="0.25">
      <c r="A142" s="124" t="s">
        <v>143</v>
      </c>
      <c r="B142" s="51" t="s">
        <v>121</v>
      </c>
      <c r="C142" s="56">
        <v>5000</v>
      </c>
      <c r="D142" s="521"/>
      <c r="E142" s="521"/>
      <c r="F142" s="521"/>
      <c r="G142" s="438"/>
      <c r="H142" s="521"/>
      <c r="I142" s="521"/>
    </row>
    <row r="143" spans="1:9" ht="54" customHeight="1" x14ac:dyDescent="0.25">
      <c r="A143" s="124"/>
      <c r="B143" s="51" t="s">
        <v>890</v>
      </c>
      <c r="C143" s="56"/>
      <c r="D143" s="521"/>
      <c r="E143" s="521" t="s">
        <v>874</v>
      </c>
      <c r="F143" s="521">
        <v>190</v>
      </c>
      <c r="G143" s="438" t="s">
        <v>892</v>
      </c>
      <c r="H143" s="521"/>
      <c r="I143" s="521"/>
    </row>
    <row r="144" spans="1:9" ht="69.75" customHeight="1" x14ac:dyDescent="0.25">
      <c r="A144" s="124"/>
      <c r="B144" s="51" t="s">
        <v>895</v>
      </c>
      <c r="C144" s="56"/>
      <c r="D144" s="521"/>
      <c r="E144" s="521" t="s">
        <v>874</v>
      </c>
      <c r="F144" s="521">
        <v>2250</v>
      </c>
      <c r="G144" s="438" t="s">
        <v>896</v>
      </c>
      <c r="H144" s="521"/>
      <c r="I144" s="521"/>
    </row>
    <row r="145" spans="1:9" x14ac:dyDescent="0.25">
      <c r="A145" s="469"/>
      <c r="B145" s="440" t="s">
        <v>443</v>
      </c>
      <c r="C145" s="441"/>
      <c r="D145" s="523">
        <v>2500</v>
      </c>
      <c r="E145" s="523"/>
      <c r="F145" s="523">
        <f>SUM(F143:F144)</f>
        <v>2440</v>
      </c>
      <c r="G145" s="443"/>
      <c r="H145" s="524">
        <f>D145-F145</f>
        <v>60</v>
      </c>
      <c r="I145" s="523">
        <f>SUM(I143:I144)</f>
        <v>0</v>
      </c>
    </row>
    <row r="146" spans="1:9" x14ac:dyDescent="0.25">
      <c r="A146" s="124" t="s">
        <v>144</v>
      </c>
      <c r="B146" s="51" t="s">
        <v>145</v>
      </c>
      <c r="C146" s="56">
        <v>9840</v>
      </c>
      <c r="D146" s="521"/>
      <c r="E146" s="521"/>
      <c r="F146" s="521"/>
      <c r="G146" s="438"/>
      <c r="H146" s="521"/>
      <c r="I146" s="521"/>
    </row>
    <row r="147" spans="1:9" ht="68.25" customHeight="1" x14ac:dyDescent="0.25">
      <c r="A147" s="124"/>
      <c r="B147" s="51" t="s">
        <v>881</v>
      </c>
      <c r="C147" s="56"/>
      <c r="D147" s="521"/>
      <c r="E147" s="521" t="s">
        <v>874</v>
      </c>
      <c r="F147" s="521">
        <v>4920</v>
      </c>
      <c r="G147" s="438" t="s">
        <v>882</v>
      </c>
      <c r="H147" s="521"/>
      <c r="I147" s="521"/>
    </row>
    <row r="148" spans="1:9" x14ac:dyDescent="0.25">
      <c r="A148" s="124"/>
      <c r="B148" s="51"/>
      <c r="C148" s="56"/>
      <c r="D148" s="521"/>
      <c r="E148" s="521"/>
      <c r="F148" s="521"/>
      <c r="G148" s="438"/>
      <c r="H148" s="521"/>
      <c r="I148" s="521"/>
    </row>
    <row r="149" spans="1:9" x14ac:dyDescent="0.25">
      <c r="A149" s="469"/>
      <c r="B149" s="440" t="s">
        <v>445</v>
      </c>
      <c r="C149" s="441"/>
      <c r="D149" s="523">
        <v>4920</v>
      </c>
      <c r="E149" s="523"/>
      <c r="F149" s="523">
        <f>SUM(F147:F148)</f>
        <v>4920</v>
      </c>
      <c r="G149" s="443"/>
      <c r="H149" s="524">
        <f>D149-F149</f>
        <v>0</v>
      </c>
      <c r="I149" s="523">
        <f>SUM(I147:I148)</f>
        <v>0</v>
      </c>
    </row>
    <row r="150" spans="1:9" ht="25.5" x14ac:dyDescent="0.25">
      <c r="A150" s="124" t="s">
        <v>146</v>
      </c>
      <c r="B150" s="51" t="s">
        <v>147</v>
      </c>
      <c r="C150" s="56">
        <v>10000</v>
      </c>
      <c r="D150" s="521"/>
      <c r="E150" s="521"/>
      <c r="F150" s="521"/>
      <c r="G150" s="438"/>
      <c r="H150" s="521"/>
      <c r="I150" s="521"/>
    </row>
    <row r="151" spans="1:9" ht="69" customHeight="1" x14ac:dyDescent="0.25">
      <c r="A151" s="124"/>
      <c r="B151" s="51" t="s">
        <v>887</v>
      </c>
      <c r="C151" s="56"/>
      <c r="D151" s="521"/>
      <c r="E151" s="521" t="s">
        <v>874</v>
      </c>
      <c r="F151" s="521">
        <v>5000</v>
      </c>
      <c r="G151" s="438" t="s">
        <v>886</v>
      </c>
      <c r="H151" s="521"/>
      <c r="I151" s="521"/>
    </row>
    <row r="152" spans="1:9" x14ac:dyDescent="0.25">
      <c r="A152" s="124"/>
      <c r="B152" s="51"/>
      <c r="C152" s="56"/>
      <c r="D152" s="521"/>
      <c r="E152" s="521"/>
      <c r="F152" s="521"/>
      <c r="G152" s="438"/>
      <c r="H152" s="521"/>
      <c r="I152" s="521"/>
    </row>
    <row r="153" spans="1:9" x14ac:dyDescent="0.25">
      <c r="A153" s="469"/>
      <c r="B153" s="440" t="s">
        <v>446</v>
      </c>
      <c r="C153" s="441"/>
      <c r="D153" s="523">
        <v>5000</v>
      </c>
      <c r="E153" s="523"/>
      <c r="F153" s="523">
        <f>SUM(F151:F152)</f>
        <v>5000</v>
      </c>
      <c r="G153" s="443"/>
      <c r="H153" s="524">
        <f>D153-F153</f>
        <v>0</v>
      </c>
      <c r="I153" s="523">
        <f>SUM(I151:I152)</f>
        <v>0</v>
      </c>
    </row>
    <row r="154" spans="1:9" x14ac:dyDescent="0.25">
      <c r="A154" s="124" t="s">
        <v>148</v>
      </c>
      <c r="B154" s="51" t="s">
        <v>77</v>
      </c>
      <c r="C154" s="56">
        <v>1000</v>
      </c>
      <c r="D154" s="521"/>
      <c r="E154" s="521"/>
      <c r="F154" s="521"/>
      <c r="G154" s="438"/>
      <c r="H154" s="521"/>
      <c r="I154" s="521"/>
    </row>
    <row r="155" spans="1:9" ht="84" customHeight="1" x14ac:dyDescent="0.25">
      <c r="A155" s="124"/>
      <c r="B155" s="51" t="s">
        <v>876</v>
      </c>
      <c r="C155" s="56"/>
      <c r="D155" s="521"/>
      <c r="E155" s="521" t="s">
        <v>875</v>
      </c>
      <c r="F155" s="521">
        <v>525</v>
      </c>
      <c r="G155" s="438" t="s">
        <v>873</v>
      </c>
      <c r="H155" s="521"/>
      <c r="I155" s="521"/>
    </row>
    <row r="156" spans="1:9" ht="25.5" x14ac:dyDescent="0.25">
      <c r="A156" s="469"/>
      <c r="B156" s="440" t="s">
        <v>449</v>
      </c>
      <c r="C156" s="441"/>
      <c r="D156" s="523">
        <v>500</v>
      </c>
      <c r="E156" s="523"/>
      <c r="F156" s="523">
        <f>SUM(F155:F155)</f>
        <v>525</v>
      </c>
      <c r="G156" s="443"/>
      <c r="H156" s="524">
        <f>D156-F156</f>
        <v>-25</v>
      </c>
      <c r="I156" s="523">
        <f>SUM(I155:I155)</f>
        <v>0</v>
      </c>
    </row>
    <row r="157" spans="1:9" x14ac:dyDescent="0.25">
      <c r="A157" s="94"/>
      <c r="B157" s="457" t="s">
        <v>149</v>
      </c>
      <c r="C157" s="97">
        <f>SUM(C142:C154)</f>
        <v>25840</v>
      </c>
      <c r="D157" s="528">
        <f>SUM(D156,D153,D149,D145)</f>
        <v>12920</v>
      </c>
      <c r="E157" s="528"/>
      <c r="F157" s="528">
        <f>SUM(F156,F153,F149,F145)</f>
        <v>12885</v>
      </c>
      <c r="G157" s="455"/>
      <c r="H157" s="529">
        <f>D157-F157</f>
        <v>35</v>
      </c>
      <c r="I157" s="528">
        <f>SUM(I156,I153,I149,I145)</f>
        <v>0</v>
      </c>
    </row>
    <row r="158" spans="1:9" ht="38.25" x14ac:dyDescent="0.25">
      <c r="A158" s="445">
        <v>2.5</v>
      </c>
      <c r="B158" s="452" t="s">
        <v>150</v>
      </c>
      <c r="C158" s="363"/>
      <c r="D158" s="525"/>
      <c r="E158" s="525"/>
      <c r="F158" s="525"/>
      <c r="G158" s="447"/>
      <c r="H158" s="525"/>
      <c r="I158" s="525"/>
    </row>
    <row r="159" spans="1:9" ht="29.25" customHeight="1" x14ac:dyDescent="0.25">
      <c r="A159" s="124" t="s">
        <v>151</v>
      </c>
      <c r="B159" s="51" t="s">
        <v>152</v>
      </c>
      <c r="C159" s="56">
        <v>0</v>
      </c>
      <c r="D159" s="521"/>
      <c r="E159" s="521"/>
      <c r="F159" s="521"/>
      <c r="G159" s="438"/>
      <c r="H159" s="521"/>
      <c r="I159" s="521"/>
    </row>
    <row r="160" spans="1:9" ht="42.75" customHeight="1" x14ac:dyDescent="0.25">
      <c r="A160" s="124"/>
      <c r="B160" s="51"/>
      <c r="C160" s="56"/>
      <c r="D160" s="521"/>
      <c r="E160" s="521"/>
      <c r="F160" s="521"/>
      <c r="G160" s="438"/>
      <c r="H160" s="521"/>
      <c r="I160" s="521"/>
    </row>
    <row r="161" spans="1:9" x14ac:dyDescent="0.25">
      <c r="A161" s="124"/>
      <c r="B161" s="51"/>
      <c r="C161" s="56"/>
      <c r="D161" s="521"/>
      <c r="E161" s="521"/>
      <c r="F161" s="521"/>
      <c r="G161" s="438"/>
      <c r="H161" s="521"/>
      <c r="I161" s="521"/>
    </row>
    <row r="162" spans="1:9" x14ac:dyDescent="0.25">
      <c r="A162" s="469"/>
      <c r="B162" s="440" t="s">
        <v>450</v>
      </c>
      <c r="C162" s="441"/>
      <c r="D162" s="523">
        <v>0</v>
      </c>
      <c r="E162" s="523"/>
      <c r="F162" s="523">
        <f>SUM(F160:F161)</f>
        <v>0</v>
      </c>
      <c r="G162" s="443"/>
      <c r="H162" s="524">
        <f>D162-F162</f>
        <v>0</v>
      </c>
      <c r="I162" s="523"/>
    </row>
    <row r="163" spans="1:9" ht="33" customHeight="1" x14ac:dyDescent="0.25">
      <c r="A163" s="124" t="s">
        <v>153</v>
      </c>
      <c r="B163" s="51" t="s">
        <v>154</v>
      </c>
      <c r="C163" s="56">
        <v>14760</v>
      </c>
      <c r="D163" s="521"/>
      <c r="E163" s="521"/>
      <c r="F163" s="521"/>
      <c r="G163" s="438"/>
      <c r="H163" s="521"/>
      <c r="I163" s="521"/>
    </row>
    <row r="164" spans="1:9" ht="65.25" customHeight="1" x14ac:dyDescent="0.25">
      <c r="A164" s="124"/>
      <c r="B164" s="51" t="s">
        <v>821</v>
      </c>
      <c r="C164" s="56"/>
      <c r="D164" s="521"/>
      <c r="E164" s="521" t="s">
        <v>812</v>
      </c>
      <c r="F164" s="521">
        <v>4440</v>
      </c>
      <c r="G164" s="438" t="s">
        <v>822</v>
      </c>
      <c r="H164" s="521"/>
      <c r="I164" s="521"/>
    </row>
    <row r="165" spans="1:9" ht="63.75" x14ac:dyDescent="0.25">
      <c r="A165" s="124"/>
      <c r="B165" s="51" t="s">
        <v>884</v>
      </c>
      <c r="C165" s="56"/>
      <c r="D165" s="521"/>
      <c r="E165" s="521" t="s">
        <v>883</v>
      </c>
      <c r="F165" s="521">
        <v>4800</v>
      </c>
      <c r="G165" s="438" t="s">
        <v>882</v>
      </c>
      <c r="H165" s="521"/>
      <c r="I165" s="521"/>
    </row>
    <row r="166" spans="1:9" x14ac:dyDescent="0.25">
      <c r="A166" s="469"/>
      <c r="B166" s="440" t="s">
        <v>453</v>
      </c>
      <c r="C166" s="441"/>
      <c r="D166" s="523">
        <v>4920</v>
      </c>
      <c r="E166" s="523"/>
      <c r="F166" s="523">
        <f>SUM(F164:F165)</f>
        <v>9240</v>
      </c>
      <c r="G166" s="443"/>
      <c r="H166" s="524">
        <f>D166-F166</f>
        <v>-4320</v>
      </c>
      <c r="I166" s="523">
        <f>SUM(I164:I165)</f>
        <v>0</v>
      </c>
    </row>
    <row r="167" spans="1:9" ht="25.5" x14ac:dyDescent="0.25">
      <c r="A167" s="124" t="s">
        <v>156</v>
      </c>
      <c r="B167" s="51" t="s">
        <v>157</v>
      </c>
      <c r="C167" s="56">
        <v>15000</v>
      </c>
      <c r="D167" s="521"/>
      <c r="E167" s="521"/>
      <c r="F167" s="521"/>
      <c r="G167" s="438"/>
      <c r="H167" s="521"/>
      <c r="I167" s="521"/>
    </row>
    <row r="168" spans="1:9" ht="68.25" customHeight="1" x14ac:dyDescent="0.25">
      <c r="A168" s="124"/>
      <c r="B168" s="51" t="s">
        <v>826</v>
      </c>
      <c r="C168" s="56"/>
      <c r="D168" s="521"/>
      <c r="E168" s="521" t="s">
        <v>824</v>
      </c>
      <c r="F168" s="521">
        <v>5000</v>
      </c>
      <c r="G168" s="438" t="s">
        <v>827</v>
      </c>
      <c r="H168" s="521"/>
      <c r="I168" s="521"/>
    </row>
    <row r="169" spans="1:9" ht="76.5" x14ac:dyDescent="0.25">
      <c r="A169" s="124"/>
      <c r="B169" s="51" t="s">
        <v>888</v>
      </c>
      <c r="C169" s="56"/>
      <c r="D169" s="521"/>
      <c r="E169" s="521" t="s">
        <v>874</v>
      </c>
      <c r="F169" s="521">
        <v>5000</v>
      </c>
      <c r="G169" s="438" t="s">
        <v>886</v>
      </c>
      <c r="H169" s="521"/>
      <c r="I169" s="521"/>
    </row>
    <row r="170" spans="1:9" x14ac:dyDescent="0.25">
      <c r="A170" s="469"/>
      <c r="B170" s="440" t="s">
        <v>457</v>
      </c>
      <c r="C170" s="441"/>
      <c r="D170" s="523">
        <v>5000</v>
      </c>
      <c r="E170" s="523"/>
      <c r="F170" s="523">
        <f>SUM(F168:F169)</f>
        <v>10000</v>
      </c>
      <c r="G170" s="443"/>
      <c r="H170" s="524">
        <f>D170-F170</f>
        <v>-5000</v>
      </c>
      <c r="I170" s="523">
        <f>SUM(I168:I169)</f>
        <v>0</v>
      </c>
    </row>
    <row r="171" spans="1:9" x14ac:dyDescent="0.25">
      <c r="A171" s="124" t="s">
        <v>159</v>
      </c>
      <c r="B171" s="51" t="s">
        <v>160</v>
      </c>
      <c r="C171" s="56">
        <v>1500</v>
      </c>
      <c r="D171" s="521"/>
      <c r="E171" s="521"/>
      <c r="F171" s="521"/>
      <c r="G171" s="438"/>
      <c r="H171" s="521"/>
      <c r="I171" s="521"/>
    </row>
    <row r="172" spans="1:9" ht="63.75" x14ac:dyDescent="0.25">
      <c r="A172" s="124"/>
      <c r="B172" s="51" t="s">
        <v>823</v>
      </c>
      <c r="C172" s="56"/>
      <c r="D172" s="521"/>
      <c r="E172" s="521" t="s">
        <v>824</v>
      </c>
      <c r="F172" s="521">
        <v>480</v>
      </c>
      <c r="G172" s="438" t="s">
        <v>825</v>
      </c>
      <c r="H172" s="521"/>
      <c r="I172" s="521"/>
    </row>
    <row r="173" spans="1:9" ht="63.75" x14ac:dyDescent="0.25">
      <c r="A173" s="124"/>
      <c r="B173" s="51" t="s">
        <v>878</v>
      </c>
      <c r="C173" s="56"/>
      <c r="D173" s="521"/>
      <c r="E173" s="521" t="s">
        <v>863</v>
      </c>
      <c r="F173" s="521">
        <v>510</v>
      </c>
      <c r="G173" s="438" t="s">
        <v>873</v>
      </c>
      <c r="H173" s="521"/>
      <c r="I173" s="521"/>
    </row>
    <row r="174" spans="1:9" x14ac:dyDescent="0.25">
      <c r="A174" s="469"/>
      <c r="B174" s="440" t="s">
        <v>459</v>
      </c>
      <c r="C174" s="441"/>
      <c r="D174" s="523">
        <v>500</v>
      </c>
      <c r="E174" s="523"/>
      <c r="F174" s="523">
        <f>F172+F173</f>
        <v>990</v>
      </c>
      <c r="G174" s="443"/>
      <c r="H174" s="524">
        <f>D174-F174</f>
        <v>-490</v>
      </c>
      <c r="I174" s="523">
        <f>I172+I173</f>
        <v>0</v>
      </c>
    </row>
    <row r="175" spans="1:9" x14ac:dyDescent="0.25">
      <c r="A175" s="94"/>
      <c r="B175" s="457" t="s">
        <v>162</v>
      </c>
      <c r="C175" s="97">
        <f>SUM(C159:C171)</f>
        <v>31260</v>
      </c>
      <c r="D175" s="528">
        <f>SUM(D174,D170,D166,D162)</f>
        <v>10420</v>
      </c>
      <c r="E175" s="528"/>
      <c r="F175" s="528">
        <f>SUM(F174,F170,F166,F162)</f>
        <v>20230</v>
      </c>
      <c r="G175" s="455"/>
      <c r="H175" s="529">
        <f>D175-F175</f>
        <v>-9810</v>
      </c>
      <c r="I175" s="528">
        <f>SUM(I174,I170,I166,I162)</f>
        <v>0</v>
      </c>
    </row>
    <row r="176" spans="1:9" x14ac:dyDescent="0.25">
      <c r="A176" s="445">
        <v>2.6</v>
      </c>
      <c r="B176" s="452" t="s">
        <v>163</v>
      </c>
      <c r="C176" s="363"/>
      <c r="D176" s="525"/>
      <c r="E176" s="525"/>
      <c r="F176" s="525"/>
      <c r="G176" s="447"/>
      <c r="H176" s="525"/>
      <c r="I176" s="525"/>
    </row>
    <row r="177" spans="1:9" x14ac:dyDescent="0.25">
      <c r="A177" s="124" t="s">
        <v>164</v>
      </c>
      <c r="B177" s="51" t="s">
        <v>165</v>
      </c>
      <c r="C177" s="56">
        <v>7200</v>
      </c>
      <c r="D177" s="521"/>
      <c r="E177" s="521"/>
      <c r="F177" s="521"/>
      <c r="G177" s="438"/>
      <c r="H177" s="521"/>
      <c r="I177" s="521"/>
    </row>
    <row r="178" spans="1:9" x14ac:dyDescent="0.25">
      <c r="A178" s="124"/>
      <c r="B178" s="51"/>
      <c r="C178" s="56"/>
      <c r="D178" s="521"/>
      <c r="E178" s="521"/>
      <c r="F178" s="521"/>
      <c r="G178" s="438"/>
      <c r="H178" s="521"/>
      <c r="I178" s="521"/>
    </row>
    <row r="179" spans="1:9" x14ac:dyDescent="0.25">
      <c r="A179" s="124"/>
      <c r="B179" s="51"/>
      <c r="C179" s="56"/>
      <c r="D179" s="521"/>
      <c r="E179" s="521"/>
      <c r="F179" s="521"/>
      <c r="G179" s="438"/>
      <c r="H179" s="521"/>
      <c r="I179" s="521"/>
    </row>
    <row r="180" spans="1:9" x14ac:dyDescent="0.25">
      <c r="A180" s="124"/>
      <c r="B180" s="51"/>
      <c r="C180" s="56"/>
      <c r="D180" s="521"/>
      <c r="E180" s="521"/>
      <c r="F180" s="521"/>
      <c r="G180" s="438"/>
      <c r="H180" s="521"/>
      <c r="I180" s="521"/>
    </row>
    <row r="181" spans="1:9" x14ac:dyDescent="0.25">
      <c r="A181" s="469"/>
      <c r="B181" s="440" t="s">
        <v>460</v>
      </c>
      <c r="C181" s="441"/>
      <c r="D181" s="523">
        <v>0</v>
      </c>
      <c r="E181" s="523"/>
      <c r="F181" s="523">
        <f>SUM(F178:F180)</f>
        <v>0</v>
      </c>
      <c r="G181" s="443"/>
      <c r="H181" s="524">
        <f>D181-F181</f>
        <v>0</v>
      </c>
      <c r="I181" s="523">
        <f>SUM(I178:I180)</f>
        <v>0</v>
      </c>
    </row>
    <row r="182" spans="1:9" ht="30.75" customHeight="1" x14ac:dyDescent="0.25">
      <c r="A182" s="124" t="s">
        <v>167</v>
      </c>
      <c r="B182" s="130" t="s">
        <v>168</v>
      </c>
      <c r="C182" s="56">
        <v>174800</v>
      </c>
      <c r="D182" s="521"/>
      <c r="E182" s="521"/>
      <c r="F182" s="521"/>
      <c r="G182" s="438"/>
      <c r="H182" s="521"/>
      <c r="I182" s="521"/>
    </row>
    <row r="183" spans="1:9" ht="55.5" customHeight="1" x14ac:dyDescent="0.25">
      <c r="A183" s="124"/>
      <c r="B183" s="130"/>
      <c r="C183" s="56"/>
      <c r="D183" s="521"/>
      <c r="E183" s="521"/>
      <c r="F183" s="521"/>
      <c r="G183" s="438"/>
      <c r="H183" s="521"/>
      <c r="I183" s="521"/>
    </row>
    <row r="184" spans="1:9" x14ac:dyDescent="0.25">
      <c r="A184" s="124"/>
      <c r="B184" s="130"/>
      <c r="C184" s="56"/>
      <c r="D184" s="521"/>
      <c r="E184" s="521"/>
      <c r="F184" s="521"/>
      <c r="G184" s="438"/>
      <c r="H184" s="521"/>
      <c r="I184" s="521"/>
    </row>
    <row r="185" spans="1:9" x14ac:dyDescent="0.25">
      <c r="A185" s="124"/>
      <c r="B185" s="130"/>
      <c r="C185" s="56"/>
      <c r="D185" s="521"/>
      <c r="E185" s="521"/>
      <c r="F185" s="521"/>
      <c r="G185" s="438"/>
      <c r="H185" s="521"/>
      <c r="I185" s="521"/>
    </row>
    <row r="186" spans="1:9" x14ac:dyDescent="0.25">
      <c r="A186" s="469"/>
      <c r="B186" s="470" t="s">
        <v>461</v>
      </c>
      <c r="C186" s="441"/>
      <c r="D186" s="523">
        <v>0</v>
      </c>
      <c r="E186" s="523"/>
      <c r="F186" s="523">
        <f>SUM(F183:F185)</f>
        <v>0</v>
      </c>
      <c r="G186" s="443"/>
      <c r="H186" s="524">
        <f>D186-F186</f>
        <v>0</v>
      </c>
      <c r="I186" s="523">
        <f>SUM(I183:I185)</f>
        <v>0</v>
      </c>
    </row>
    <row r="187" spans="1:9" x14ac:dyDescent="0.25">
      <c r="A187" s="94"/>
      <c r="B187" s="457" t="s">
        <v>170</v>
      </c>
      <c r="C187" s="97">
        <f>SUM(C177:C182)</f>
        <v>182000</v>
      </c>
      <c r="D187" s="528">
        <f>SUM(D186,D181)</f>
        <v>0</v>
      </c>
      <c r="E187" s="528"/>
      <c r="F187" s="528">
        <f>SUM(F186,F181)</f>
        <v>0</v>
      </c>
      <c r="G187" s="455"/>
      <c r="H187" s="529">
        <f>D187-F187</f>
        <v>0</v>
      </c>
      <c r="I187" s="528">
        <f>SUM(I186,I181)</f>
        <v>0</v>
      </c>
    </row>
    <row r="188" spans="1:9" x14ac:dyDescent="0.25">
      <c r="A188" s="445">
        <v>2.7</v>
      </c>
      <c r="B188" s="452" t="s">
        <v>171</v>
      </c>
      <c r="C188" s="366"/>
      <c r="D188" s="525"/>
      <c r="E188" s="525"/>
      <c r="F188" s="525"/>
      <c r="G188" s="447"/>
      <c r="H188" s="525"/>
      <c r="I188" s="525"/>
    </row>
    <row r="189" spans="1:9" ht="38.25" x14ac:dyDescent="0.25">
      <c r="A189" s="124" t="s">
        <v>172</v>
      </c>
      <c r="B189" s="51" t="s">
        <v>173</v>
      </c>
      <c r="C189" s="56">
        <v>0</v>
      </c>
      <c r="D189" s="521"/>
      <c r="E189" s="521"/>
      <c r="F189" s="521"/>
      <c r="G189" s="438"/>
      <c r="H189" s="521"/>
      <c r="I189" s="521"/>
    </row>
    <row r="190" spans="1:9" x14ac:dyDescent="0.25">
      <c r="A190" s="124"/>
      <c r="B190" s="51"/>
      <c r="C190" s="56"/>
      <c r="D190" s="521"/>
      <c r="E190" s="521"/>
      <c r="F190" s="521"/>
      <c r="G190" s="438"/>
      <c r="H190" s="521"/>
      <c r="I190" s="521"/>
    </row>
    <row r="191" spans="1:9" x14ac:dyDescent="0.25">
      <c r="A191" s="124"/>
      <c r="B191" s="51"/>
      <c r="C191" s="56"/>
      <c r="D191" s="521"/>
      <c r="E191" s="521"/>
      <c r="F191" s="521"/>
      <c r="G191" s="438"/>
      <c r="H191" s="521"/>
      <c r="I191" s="521"/>
    </row>
    <row r="192" spans="1:9" x14ac:dyDescent="0.25">
      <c r="A192" s="124"/>
      <c r="B192" s="51"/>
      <c r="C192" s="56"/>
      <c r="D192" s="521"/>
      <c r="E192" s="521"/>
      <c r="F192" s="521"/>
      <c r="G192" s="438"/>
      <c r="H192" s="521"/>
      <c r="I192" s="521"/>
    </row>
    <row r="193" spans="1:9" x14ac:dyDescent="0.25">
      <c r="A193" s="124"/>
      <c r="B193" s="51"/>
      <c r="C193" s="56"/>
      <c r="D193" s="521"/>
      <c r="E193" s="521"/>
      <c r="F193" s="521"/>
      <c r="G193" s="438"/>
      <c r="H193" s="521"/>
      <c r="I193" s="521"/>
    </row>
    <row r="194" spans="1:9" x14ac:dyDescent="0.25">
      <c r="A194" s="124"/>
      <c r="B194" s="51"/>
      <c r="C194" s="56"/>
      <c r="D194" s="521"/>
      <c r="E194" s="521"/>
      <c r="F194" s="521"/>
      <c r="G194" s="438"/>
      <c r="H194" s="521"/>
      <c r="I194" s="521"/>
    </row>
    <row r="195" spans="1:9" x14ac:dyDescent="0.25">
      <c r="A195" s="469"/>
      <c r="B195" s="440" t="s">
        <v>462</v>
      </c>
      <c r="C195" s="441"/>
      <c r="D195" s="523">
        <v>0</v>
      </c>
      <c r="E195" s="523"/>
      <c r="F195" s="523">
        <f>SUM(F190:F194)</f>
        <v>0</v>
      </c>
      <c r="G195" s="443"/>
      <c r="H195" s="524">
        <f>D195-F195</f>
        <v>0</v>
      </c>
      <c r="I195" s="523">
        <f>SUM(I190:I194)</f>
        <v>0</v>
      </c>
    </row>
    <row r="196" spans="1:9" x14ac:dyDescent="0.25">
      <c r="A196" s="124" t="s">
        <v>174</v>
      </c>
      <c r="B196" s="51" t="s">
        <v>175</v>
      </c>
      <c r="C196" s="56">
        <v>0</v>
      </c>
      <c r="D196" s="521"/>
      <c r="E196" s="521"/>
      <c r="F196" s="521"/>
      <c r="G196" s="438"/>
      <c r="H196" s="521"/>
      <c r="I196" s="521"/>
    </row>
    <row r="197" spans="1:9" x14ac:dyDescent="0.25">
      <c r="A197" s="124"/>
      <c r="B197" s="51"/>
      <c r="C197" s="56"/>
      <c r="D197" s="521"/>
      <c r="E197" s="521"/>
      <c r="F197" s="521"/>
      <c r="G197" s="438"/>
      <c r="H197" s="521"/>
      <c r="I197" s="521"/>
    </row>
    <row r="198" spans="1:9" x14ac:dyDescent="0.25">
      <c r="A198" s="124"/>
      <c r="B198" s="51"/>
      <c r="C198" s="56"/>
      <c r="D198" s="521"/>
      <c r="E198" s="521"/>
      <c r="F198" s="521"/>
      <c r="G198" s="438"/>
      <c r="H198" s="521"/>
      <c r="I198" s="521"/>
    </row>
    <row r="199" spans="1:9" x14ac:dyDescent="0.25">
      <c r="A199" s="124"/>
      <c r="B199" s="51"/>
      <c r="C199" s="56"/>
      <c r="D199" s="521"/>
      <c r="E199" s="521"/>
      <c r="F199" s="521"/>
      <c r="G199" s="438"/>
      <c r="H199" s="521"/>
      <c r="I199" s="521"/>
    </row>
    <row r="200" spans="1:9" x14ac:dyDescent="0.25">
      <c r="A200" s="124"/>
      <c r="B200" s="51"/>
      <c r="C200" s="56"/>
      <c r="D200" s="521"/>
      <c r="E200" s="521"/>
      <c r="F200" s="521"/>
      <c r="G200" s="438"/>
      <c r="H200" s="521"/>
      <c r="I200" s="521"/>
    </row>
    <row r="201" spans="1:9" x14ac:dyDescent="0.25">
      <c r="A201" s="469"/>
      <c r="B201" s="440" t="s">
        <v>463</v>
      </c>
      <c r="C201" s="441"/>
      <c r="D201" s="523">
        <v>0</v>
      </c>
      <c r="E201" s="523"/>
      <c r="F201" s="523">
        <f>SUM(F197:F200)</f>
        <v>0</v>
      </c>
      <c r="G201" s="443"/>
      <c r="H201" s="524">
        <f>D201-F201</f>
        <v>0</v>
      </c>
      <c r="I201" s="523">
        <f>SUM(I197:I200)</f>
        <v>0</v>
      </c>
    </row>
    <row r="202" spans="1:9" x14ac:dyDescent="0.25">
      <c r="A202" s="94"/>
      <c r="B202" s="457" t="s">
        <v>176</v>
      </c>
      <c r="C202" s="97">
        <f>SUM(C189:C196)</f>
        <v>0</v>
      </c>
      <c r="D202" s="528">
        <f>SUM(D201,D195)</f>
        <v>0</v>
      </c>
      <c r="E202" s="528"/>
      <c r="F202" s="528">
        <f>SUM(F201,F195)</f>
        <v>0</v>
      </c>
      <c r="G202" s="455"/>
      <c r="H202" s="529">
        <f>D202-F202</f>
        <v>0</v>
      </c>
      <c r="I202" s="528">
        <f>SUM(I201,I195)</f>
        <v>0</v>
      </c>
    </row>
    <row r="203" spans="1:9" x14ac:dyDescent="0.25">
      <c r="A203" s="445">
        <v>2.8</v>
      </c>
      <c r="B203" s="452" t="s">
        <v>182</v>
      </c>
      <c r="C203" s="363"/>
      <c r="D203" s="525"/>
      <c r="E203" s="525"/>
      <c r="F203" s="525"/>
      <c r="G203" s="447"/>
      <c r="H203" s="525"/>
      <c r="I203" s="525"/>
    </row>
    <row r="204" spans="1:9" ht="38.25" x14ac:dyDescent="0.25">
      <c r="A204" s="90" t="s">
        <v>183</v>
      </c>
      <c r="B204" s="51" t="s">
        <v>189</v>
      </c>
      <c r="C204" s="56">
        <v>4800</v>
      </c>
      <c r="D204" s="521"/>
      <c r="E204" s="521"/>
      <c r="F204" s="521"/>
      <c r="G204" s="438"/>
      <c r="H204" s="521"/>
      <c r="I204" s="521">
        <v>12600</v>
      </c>
    </row>
    <row r="205" spans="1:9" ht="53.25" customHeight="1" x14ac:dyDescent="0.25">
      <c r="A205" s="90"/>
      <c r="B205" s="102"/>
      <c r="C205" s="56"/>
      <c r="D205" s="521"/>
      <c r="E205" s="521"/>
      <c r="F205" s="521"/>
      <c r="G205" s="438"/>
      <c r="H205" s="521"/>
      <c r="I205" s="521"/>
    </row>
    <row r="206" spans="1:9" x14ac:dyDescent="0.25">
      <c r="A206" s="90"/>
      <c r="B206" s="102"/>
      <c r="C206" s="56"/>
      <c r="D206" s="521"/>
      <c r="E206" s="521"/>
      <c r="F206" s="521"/>
      <c r="G206" s="438"/>
      <c r="H206" s="521"/>
      <c r="I206" s="521"/>
    </row>
    <row r="207" spans="1:9" x14ac:dyDescent="0.25">
      <c r="A207" s="449"/>
      <c r="B207" s="440" t="s">
        <v>467</v>
      </c>
      <c r="C207" s="441"/>
      <c r="D207" s="523"/>
      <c r="E207" s="523"/>
      <c r="F207" s="523">
        <f>SUM(F205:F206)</f>
        <v>0</v>
      </c>
      <c r="G207" s="443"/>
      <c r="H207" s="524">
        <f>D207-F207</f>
        <v>0</v>
      </c>
      <c r="I207" s="523">
        <f>SUM(I204:I206)</f>
        <v>12600</v>
      </c>
    </row>
    <row r="208" spans="1:9" x14ac:dyDescent="0.25">
      <c r="A208" s="90" t="s">
        <v>184</v>
      </c>
      <c r="B208" s="102" t="s">
        <v>190</v>
      </c>
      <c r="C208" s="56">
        <v>1500</v>
      </c>
      <c r="D208" s="521"/>
      <c r="E208" s="521"/>
      <c r="F208" s="521"/>
      <c r="G208" s="438"/>
      <c r="H208" s="521"/>
      <c r="I208" s="521"/>
    </row>
    <row r="209" spans="1:9" x14ac:dyDescent="0.25">
      <c r="A209" s="90"/>
      <c r="B209" s="102"/>
      <c r="C209" s="56"/>
      <c r="D209" s="521"/>
      <c r="E209" s="521"/>
      <c r="F209" s="521"/>
      <c r="G209" s="438"/>
      <c r="H209" s="521"/>
      <c r="I209" s="521"/>
    </row>
    <row r="210" spans="1:9" x14ac:dyDescent="0.25">
      <c r="A210" s="90"/>
      <c r="B210" s="102"/>
      <c r="C210" s="56"/>
      <c r="D210" s="521"/>
      <c r="E210" s="521"/>
      <c r="F210" s="521"/>
      <c r="G210" s="438"/>
      <c r="H210" s="521"/>
      <c r="I210" s="521"/>
    </row>
    <row r="211" spans="1:9" x14ac:dyDescent="0.25">
      <c r="A211" s="90"/>
      <c r="B211" s="102"/>
      <c r="C211" s="56"/>
      <c r="D211" s="521"/>
      <c r="E211" s="521"/>
      <c r="F211" s="521"/>
      <c r="G211" s="438"/>
      <c r="H211" s="521"/>
      <c r="I211" s="521"/>
    </row>
    <row r="212" spans="1:9" x14ac:dyDescent="0.25">
      <c r="A212" s="90"/>
      <c r="B212" s="102"/>
      <c r="C212" s="56"/>
      <c r="D212" s="521"/>
      <c r="E212" s="521"/>
      <c r="F212" s="521"/>
      <c r="G212" s="438"/>
      <c r="H212" s="521"/>
      <c r="I212" s="521"/>
    </row>
    <row r="213" spans="1:9" x14ac:dyDescent="0.25">
      <c r="A213" s="449"/>
      <c r="B213" s="440" t="s">
        <v>468</v>
      </c>
      <c r="C213" s="441"/>
      <c r="D213" s="523"/>
      <c r="E213" s="523"/>
      <c r="F213" s="523">
        <f>SUM(F209:F212)</f>
        <v>0</v>
      </c>
      <c r="G213" s="443"/>
      <c r="H213" s="524">
        <f>D213-F213</f>
        <v>0</v>
      </c>
      <c r="I213" s="523">
        <f>SUM(I209:I212)</f>
        <v>0</v>
      </c>
    </row>
    <row r="214" spans="1:9" x14ac:dyDescent="0.25">
      <c r="A214" s="94"/>
      <c r="B214" s="457" t="s">
        <v>181</v>
      </c>
      <c r="C214" s="97">
        <f>SUM(C204:C213)</f>
        <v>6300</v>
      </c>
      <c r="D214" s="528">
        <f>D207+D213</f>
        <v>0</v>
      </c>
      <c r="E214" s="528"/>
      <c r="F214" s="528">
        <f>F207+F213</f>
        <v>0</v>
      </c>
      <c r="G214" s="528"/>
      <c r="H214" s="529">
        <f>D214-F214</f>
        <v>0</v>
      </c>
      <c r="I214" s="528">
        <f>I207+I213</f>
        <v>12600</v>
      </c>
    </row>
    <row r="215" spans="1:9" x14ac:dyDescent="0.25">
      <c r="A215" s="471">
        <v>2.9</v>
      </c>
      <c r="B215" s="452" t="s">
        <v>191</v>
      </c>
      <c r="C215" s="363"/>
      <c r="D215" s="525"/>
      <c r="E215" s="525"/>
      <c r="F215" s="525"/>
      <c r="G215" s="447"/>
      <c r="H215" s="525"/>
      <c r="I215" s="525"/>
    </row>
    <row r="216" spans="1:9" ht="25.5" x14ac:dyDescent="0.25">
      <c r="A216" s="124" t="s">
        <v>192</v>
      </c>
      <c r="B216" s="51" t="s">
        <v>193</v>
      </c>
      <c r="C216" s="56"/>
      <c r="D216" s="521"/>
      <c r="E216" s="521"/>
      <c r="F216" s="521"/>
      <c r="G216" s="438"/>
      <c r="H216" s="521"/>
      <c r="I216" s="521"/>
    </row>
    <row r="217" spans="1:9" x14ac:dyDescent="0.25">
      <c r="A217" s="124"/>
      <c r="B217" s="51"/>
      <c r="C217" s="56"/>
      <c r="D217" s="521"/>
      <c r="E217" s="521"/>
      <c r="F217" s="521"/>
      <c r="G217" s="438"/>
      <c r="H217" s="521"/>
      <c r="I217" s="521"/>
    </row>
    <row r="218" spans="1:9" x14ac:dyDescent="0.25">
      <c r="A218" s="469"/>
      <c r="B218" s="440" t="s">
        <v>469</v>
      </c>
      <c r="C218" s="441"/>
      <c r="D218" s="523"/>
      <c r="E218" s="523"/>
      <c r="F218" s="523">
        <f>SUM(F217:F217)</f>
        <v>0</v>
      </c>
      <c r="G218" s="443"/>
      <c r="H218" s="524">
        <f>D218-F218</f>
        <v>0</v>
      </c>
      <c r="I218" s="523">
        <f>SUM(I217:I217)</f>
        <v>0</v>
      </c>
    </row>
    <row r="219" spans="1:9" x14ac:dyDescent="0.25">
      <c r="A219" s="94"/>
      <c r="B219" s="457" t="s">
        <v>470</v>
      </c>
      <c r="C219" s="97">
        <f>C216</f>
        <v>0</v>
      </c>
      <c r="D219" s="528">
        <f>D218</f>
        <v>0</v>
      </c>
      <c r="E219" s="528"/>
      <c r="F219" s="528">
        <f>F218</f>
        <v>0</v>
      </c>
      <c r="G219" s="455"/>
      <c r="H219" s="529">
        <f>D219-F219</f>
        <v>0</v>
      </c>
      <c r="I219" s="528">
        <f>I218</f>
        <v>0</v>
      </c>
    </row>
    <row r="220" spans="1:9" x14ac:dyDescent="0.25">
      <c r="A220" s="472">
        <v>2.1</v>
      </c>
      <c r="B220" s="452" t="s">
        <v>197</v>
      </c>
      <c r="C220" s="363"/>
      <c r="D220" s="525"/>
      <c r="E220" s="525"/>
      <c r="F220" s="525"/>
      <c r="G220" s="447"/>
      <c r="H220" s="525"/>
      <c r="I220" s="525"/>
    </row>
    <row r="221" spans="1:9" ht="25.5" x14ac:dyDescent="0.25">
      <c r="A221" s="124" t="s">
        <v>198</v>
      </c>
      <c r="B221" s="51" t="s">
        <v>199</v>
      </c>
      <c r="C221" s="56">
        <v>0</v>
      </c>
      <c r="D221" s="521"/>
      <c r="E221" s="521"/>
      <c r="F221" s="521"/>
      <c r="G221" s="438"/>
      <c r="H221" s="521"/>
      <c r="I221" s="521"/>
    </row>
    <row r="222" spans="1:9" x14ac:dyDescent="0.25">
      <c r="A222" s="124"/>
      <c r="B222" s="51"/>
      <c r="C222" s="56"/>
      <c r="D222" s="521"/>
      <c r="E222" s="521"/>
      <c r="F222" s="521"/>
      <c r="G222" s="438"/>
      <c r="H222" s="521"/>
      <c r="I222" s="521"/>
    </row>
    <row r="223" spans="1:9" x14ac:dyDescent="0.25">
      <c r="A223" s="469"/>
      <c r="B223" s="440" t="s">
        <v>471</v>
      </c>
      <c r="C223" s="441"/>
      <c r="D223" s="523"/>
      <c r="E223" s="523"/>
      <c r="F223" s="523">
        <f>SUM(F222:F222)</f>
        <v>0</v>
      </c>
      <c r="G223" s="443"/>
      <c r="H223" s="524">
        <f>D223-F223</f>
        <v>0</v>
      </c>
      <c r="I223" s="523">
        <f>SUM(I222:I222)</f>
        <v>0</v>
      </c>
    </row>
    <row r="224" spans="1:9" x14ac:dyDescent="0.25">
      <c r="A224" s="124" t="s">
        <v>194</v>
      </c>
      <c r="B224" s="51" t="s">
        <v>200</v>
      </c>
      <c r="C224" s="56">
        <v>0</v>
      </c>
      <c r="D224" s="521"/>
      <c r="E224" s="521"/>
      <c r="F224" s="521"/>
      <c r="G224" s="438"/>
      <c r="H224" s="521"/>
      <c r="I224" s="521"/>
    </row>
    <row r="225" spans="1:9" x14ac:dyDescent="0.25">
      <c r="A225" s="124"/>
      <c r="B225" s="51"/>
      <c r="C225" s="56"/>
      <c r="D225" s="521"/>
      <c r="E225" s="521"/>
      <c r="F225" s="521"/>
      <c r="G225" s="438"/>
      <c r="H225" s="521"/>
      <c r="I225" s="521"/>
    </row>
    <row r="226" spans="1:9" x14ac:dyDescent="0.25">
      <c r="A226" s="469"/>
      <c r="B226" s="440" t="s">
        <v>601</v>
      </c>
      <c r="C226" s="441"/>
      <c r="D226" s="523"/>
      <c r="E226" s="523"/>
      <c r="F226" s="523">
        <f>SUM(F225:F225)</f>
        <v>0</v>
      </c>
      <c r="G226" s="443"/>
      <c r="H226" s="524">
        <f>D226-F226</f>
        <v>0</v>
      </c>
      <c r="I226" s="523">
        <f>SUM(I225:I225)</f>
        <v>0</v>
      </c>
    </row>
    <row r="227" spans="1:9" x14ac:dyDescent="0.25">
      <c r="A227" s="94"/>
      <c r="B227" s="457" t="s">
        <v>196</v>
      </c>
      <c r="C227" s="97">
        <f>SUM(C221:C226)</f>
        <v>0</v>
      </c>
      <c r="D227" s="528">
        <f>SUM(D223,D226)</f>
        <v>0</v>
      </c>
      <c r="E227" s="528"/>
      <c r="F227" s="528">
        <f>SUM(F223,F226)</f>
        <v>0</v>
      </c>
      <c r="G227" s="455"/>
      <c r="H227" s="529">
        <f>D227-F227</f>
        <v>0</v>
      </c>
      <c r="I227" s="528">
        <f>SUM(I223,I226)</f>
        <v>0</v>
      </c>
    </row>
    <row r="228" spans="1:9" ht="25.5" x14ac:dyDescent="0.25">
      <c r="A228" s="445">
        <v>2.11</v>
      </c>
      <c r="B228" s="452" t="s">
        <v>202</v>
      </c>
      <c r="C228" s="366"/>
      <c r="D228" s="525"/>
      <c r="E228" s="525"/>
      <c r="F228" s="525"/>
      <c r="G228" s="447"/>
      <c r="H228" s="525"/>
      <c r="I228" s="525"/>
    </row>
    <row r="229" spans="1:9" ht="56.25" customHeight="1" x14ac:dyDescent="0.25">
      <c r="A229" s="124" t="s">
        <v>203</v>
      </c>
      <c r="B229" s="51" t="s">
        <v>204</v>
      </c>
      <c r="C229" s="56">
        <v>0</v>
      </c>
      <c r="D229" s="521">
        <v>0</v>
      </c>
      <c r="E229" s="521"/>
      <c r="F229" s="521"/>
      <c r="G229" s="438"/>
      <c r="H229" s="521"/>
      <c r="I229" s="521"/>
    </row>
    <row r="230" spans="1:9" ht="22.5" customHeight="1" x14ac:dyDescent="0.25">
      <c r="A230" s="124"/>
      <c r="B230" s="51"/>
      <c r="C230" s="56"/>
      <c r="D230" s="521"/>
      <c r="E230" s="521"/>
      <c r="F230" s="521"/>
      <c r="G230" s="438"/>
      <c r="H230" s="521"/>
      <c r="I230" s="521"/>
    </row>
    <row r="231" spans="1:9" ht="21.75" customHeight="1" x14ac:dyDescent="0.25">
      <c r="A231" s="469"/>
      <c r="B231" s="440" t="s">
        <v>602</v>
      </c>
      <c r="C231" s="441"/>
      <c r="D231" s="523"/>
      <c r="E231" s="523"/>
      <c r="F231" s="523">
        <f>SUM(F230:F230)</f>
        <v>0</v>
      </c>
      <c r="G231" s="443"/>
      <c r="H231" s="524">
        <f>D231-F231</f>
        <v>0</v>
      </c>
      <c r="I231" s="523">
        <f>SUM(I230:I230)</f>
        <v>0</v>
      </c>
    </row>
    <row r="232" spans="1:9" x14ac:dyDescent="0.25">
      <c r="A232" s="124" t="s">
        <v>206</v>
      </c>
      <c r="B232" s="51" t="s">
        <v>207</v>
      </c>
      <c r="C232" s="56">
        <v>0</v>
      </c>
      <c r="D232" s="521">
        <v>0</v>
      </c>
      <c r="E232" s="521"/>
      <c r="F232" s="521"/>
      <c r="G232" s="438"/>
      <c r="H232" s="521"/>
      <c r="I232" s="521"/>
    </row>
    <row r="233" spans="1:9" x14ac:dyDescent="0.25">
      <c r="A233" s="124"/>
      <c r="B233" s="51"/>
      <c r="C233" s="56"/>
      <c r="D233" s="521"/>
      <c r="E233" s="521"/>
      <c r="F233" s="521"/>
      <c r="G233" s="438"/>
      <c r="H233" s="521"/>
      <c r="I233" s="521"/>
    </row>
    <row r="234" spans="1:9" x14ac:dyDescent="0.25">
      <c r="A234" s="469"/>
      <c r="B234" s="440" t="s">
        <v>603</v>
      </c>
      <c r="C234" s="441"/>
      <c r="D234" s="523"/>
      <c r="E234" s="523"/>
      <c r="F234" s="523">
        <f>SUM(F233:F233)</f>
        <v>0</v>
      </c>
      <c r="G234" s="443"/>
      <c r="H234" s="524">
        <f>D234-F234</f>
        <v>0</v>
      </c>
      <c r="I234" s="523">
        <f>SUM(I233:I233)</f>
        <v>0</v>
      </c>
    </row>
    <row r="235" spans="1:9" x14ac:dyDescent="0.25">
      <c r="A235" s="94"/>
      <c r="B235" s="457" t="s">
        <v>208</v>
      </c>
      <c r="C235" s="97">
        <f>SUM(C229:C232)</f>
        <v>0</v>
      </c>
      <c r="D235" s="528">
        <f>SUM(D229:D232)</f>
        <v>0</v>
      </c>
      <c r="E235" s="528"/>
      <c r="F235" s="528">
        <f>F234+F231</f>
        <v>0</v>
      </c>
      <c r="G235" s="455"/>
      <c r="H235" s="529">
        <f>D235-F235</f>
        <v>0</v>
      </c>
      <c r="I235" s="528">
        <f>I234+I231</f>
        <v>0</v>
      </c>
    </row>
    <row r="236" spans="1:9" x14ac:dyDescent="0.25">
      <c r="A236" s="445">
        <v>2.12</v>
      </c>
      <c r="B236" s="473" t="s">
        <v>209</v>
      </c>
      <c r="C236" s="363"/>
      <c r="D236" s="525"/>
      <c r="E236" s="525"/>
      <c r="F236" s="525"/>
      <c r="G236" s="447"/>
      <c r="H236" s="525"/>
      <c r="I236" s="525"/>
    </row>
    <row r="237" spans="1:9" ht="25.5" x14ac:dyDescent="0.25">
      <c r="A237" s="152" t="s">
        <v>210</v>
      </c>
      <c r="B237" s="51" t="s">
        <v>211</v>
      </c>
      <c r="C237" s="56"/>
      <c r="D237" s="521">
        <v>0</v>
      </c>
      <c r="E237" s="521"/>
      <c r="F237" s="521"/>
      <c r="G237" s="438"/>
      <c r="H237" s="521"/>
      <c r="I237" s="521"/>
    </row>
    <row r="238" spans="1:9" x14ac:dyDescent="0.25">
      <c r="A238" s="152"/>
      <c r="B238" s="51"/>
      <c r="C238" s="56"/>
      <c r="D238" s="521"/>
      <c r="E238" s="521"/>
      <c r="F238" s="521"/>
      <c r="G238" s="438"/>
      <c r="H238" s="521"/>
      <c r="I238" s="521"/>
    </row>
    <row r="239" spans="1:9" x14ac:dyDescent="0.25">
      <c r="A239" s="469"/>
      <c r="B239" s="440" t="s">
        <v>609</v>
      </c>
      <c r="C239" s="441"/>
      <c r="D239" s="523"/>
      <c r="E239" s="523"/>
      <c r="F239" s="523">
        <f>SUM(F238:F238)</f>
        <v>0</v>
      </c>
      <c r="G239" s="443"/>
      <c r="H239" s="524">
        <f>D239-F239</f>
        <v>0</v>
      </c>
      <c r="I239" s="523">
        <f>SUM(I238:I238)</f>
        <v>0</v>
      </c>
    </row>
    <row r="240" spans="1:9" x14ac:dyDescent="0.25">
      <c r="A240" s="94"/>
      <c r="B240" s="457" t="s">
        <v>212</v>
      </c>
      <c r="C240" s="97">
        <f>C237</f>
        <v>0</v>
      </c>
      <c r="D240" s="528">
        <f>D237</f>
        <v>0</v>
      </c>
      <c r="E240" s="528"/>
      <c r="F240" s="528">
        <f>F237+F238</f>
        <v>0</v>
      </c>
      <c r="G240" s="455"/>
      <c r="H240" s="529">
        <f>D240-F240</f>
        <v>0</v>
      </c>
      <c r="I240" s="528">
        <f>I237+I238</f>
        <v>0</v>
      </c>
    </row>
    <row r="241" spans="1:9" x14ac:dyDescent="0.25">
      <c r="A241" s="359"/>
      <c r="B241" s="462" t="s">
        <v>213</v>
      </c>
      <c r="C241" s="98">
        <f>SUM(C240,C235,C227,C219,C214,C202,C187,C175,C157,C140,C121,C103)</f>
        <v>343400</v>
      </c>
      <c r="D241" s="533">
        <f>SUM(D240,D235,D227,D219,D214,D202,D187,D175,D157,D140,D121,D103)</f>
        <v>35760</v>
      </c>
      <c r="E241" s="533"/>
      <c r="F241" s="533">
        <f>SUM(F240,F235,F227,F219,F214,F202,F187,F175,F157,F140,F121,F103)</f>
        <v>45220</v>
      </c>
      <c r="G241" s="464"/>
      <c r="H241" s="534">
        <f>D241-F241</f>
        <v>-9460</v>
      </c>
      <c r="I241" s="533">
        <f>SUM(I240,I235,I227,I219,I214,I202,I187,I175,I157,I140,I121,I103)</f>
        <v>12600</v>
      </c>
    </row>
    <row r="242" spans="1:9" x14ac:dyDescent="0.25">
      <c r="A242" s="116"/>
      <c r="B242" s="466" t="s">
        <v>214</v>
      </c>
      <c r="C242" s="119"/>
      <c r="D242" s="537"/>
      <c r="E242" s="537"/>
      <c r="F242" s="537"/>
      <c r="G242" s="474"/>
      <c r="H242" s="537"/>
      <c r="I242" s="537"/>
    </row>
    <row r="243" spans="1:9" ht="38.25" x14ac:dyDescent="0.25">
      <c r="A243" s="445">
        <v>3.1</v>
      </c>
      <c r="B243" s="452" t="s">
        <v>215</v>
      </c>
      <c r="C243" s="371"/>
      <c r="D243" s="525"/>
      <c r="E243" s="525"/>
      <c r="F243" s="525"/>
      <c r="G243" s="447"/>
      <c r="H243" s="525"/>
      <c r="I243" s="525"/>
    </row>
    <row r="244" spans="1:9" x14ac:dyDescent="0.25">
      <c r="A244" s="157" t="s">
        <v>216</v>
      </c>
      <c r="B244" s="51" t="s">
        <v>217</v>
      </c>
      <c r="C244" s="56">
        <v>5000</v>
      </c>
      <c r="D244" s="521"/>
      <c r="E244" s="521"/>
      <c r="F244" s="521"/>
      <c r="G244" s="438"/>
      <c r="H244" s="521"/>
      <c r="I244" s="521"/>
    </row>
    <row r="245" spans="1:9" x14ac:dyDescent="0.25">
      <c r="A245" s="157"/>
      <c r="B245" s="51"/>
      <c r="C245" s="56"/>
      <c r="D245" s="521"/>
      <c r="E245" s="521"/>
      <c r="F245" s="521"/>
      <c r="G245" s="438"/>
      <c r="H245" s="521"/>
      <c r="I245" s="521"/>
    </row>
    <row r="246" spans="1:9" x14ac:dyDescent="0.25">
      <c r="A246" s="157"/>
      <c r="B246" s="51"/>
      <c r="C246" s="56"/>
      <c r="D246" s="521"/>
      <c r="E246" s="521"/>
      <c r="F246" s="521"/>
      <c r="G246" s="438"/>
      <c r="H246" s="521"/>
      <c r="I246" s="521"/>
    </row>
    <row r="247" spans="1:9" x14ac:dyDescent="0.25">
      <c r="A247" s="157"/>
      <c r="B247" s="51"/>
      <c r="C247" s="56"/>
      <c r="D247" s="521"/>
      <c r="E247" s="521"/>
      <c r="F247" s="521"/>
      <c r="G247" s="438"/>
      <c r="H247" s="521"/>
      <c r="I247" s="521"/>
    </row>
    <row r="248" spans="1:9" x14ac:dyDescent="0.25">
      <c r="A248" s="157"/>
      <c r="B248" s="51"/>
      <c r="C248" s="56"/>
      <c r="D248" s="521"/>
      <c r="E248" s="521"/>
      <c r="F248" s="521"/>
      <c r="G248" s="438"/>
      <c r="H248" s="521"/>
      <c r="I248" s="521"/>
    </row>
    <row r="249" spans="1:9" x14ac:dyDescent="0.25">
      <c r="A249" s="475"/>
      <c r="B249" s="440" t="s">
        <v>475</v>
      </c>
      <c r="C249" s="441"/>
      <c r="D249" s="523"/>
      <c r="E249" s="523"/>
      <c r="F249" s="523">
        <f>SUM(F245:F248)</f>
        <v>0</v>
      </c>
      <c r="G249" s="443"/>
      <c r="H249" s="524">
        <f>D249-F249</f>
        <v>0</v>
      </c>
      <c r="I249" s="523">
        <f>SUM(I245:I248)</f>
        <v>0</v>
      </c>
    </row>
    <row r="250" spans="1:9" x14ac:dyDescent="0.25">
      <c r="A250" s="157" t="s">
        <v>218</v>
      </c>
      <c r="B250" s="51" t="s">
        <v>219</v>
      </c>
      <c r="C250" s="56">
        <v>7000</v>
      </c>
      <c r="D250" s="521"/>
      <c r="E250" s="521"/>
      <c r="F250" s="521"/>
      <c r="G250" s="438"/>
      <c r="H250" s="521"/>
      <c r="I250" s="521"/>
    </row>
    <row r="251" spans="1:9" x14ac:dyDescent="0.25">
      <c r="A251" s="157"/>
      <c r="B251" s="51"/>
      <c r="C251" s="56"/>
      <c r="D251" s="521"/>
      <c r="E251" s="521"/>
      <c r="F251" s="521"/>
      <c r="G251" s="438"/>
      <c r="H251" s="521"/>
      <c r="I251" s="521"/>
    </row>
    <row r="252" spans="1:9" x14ac:dyDescent="0.25">
      <c r="A252" s="157"/>
      <c r="B252" s="51"/>
      <c r="C252" s="56"/>
      <c r="D252" s="521"/>
      <c r="E252" s="521"/>
      <c r="F252" s="521"/>
      <c r="G252" s="438"/>
      <c r="H252" s="521"/>
      <c r="I252" s="521"/>
    </row>
    <row r="253" spans="1:9" x14ac:dyDescent="0.25">
      <c r="A253" s="157"/>
      <c r="B253" s="51"/>
      <c r="C253" s="56"/>
      <c r="D253" s="521"/>
      <c r="E253" s="521"/>
      <c r="F253" s="521"/>
      <c r="G253" s="438"/>
      <c r="H253" s="521"/>
      <c r="I253" s="521"/>
    </row>
    <row r="254" spans="1:9" x14ac:dyDescent="0.25">
      <c r="A254" s="475"/>
      <c r="B254" s="440" t="s">
        <v>477</v>
      </c>
      <c r="C254" s="441"/>
      <c r="D254" s="523"/>
      <c r="E254" s="523"/>
      <c r="F254" s="523">
        <f>SUM(F251:F253)</f>
        <v>0</v>
      </c>
      <c r="G254" s="443"/>
      <c r="H254" s="524">
        <f>D254-F254</f>
        <v>0</v>
      </c>
      <c r="I254" s="523">
        <f>SUM(I251:I253)</f>
        <v>0</v>
      </c>
    </row>
    <row r="255" spans="1:9" ht="25.5" x14ac:dyDescent="0.25">
      <c r="A255" s="157" t="s">
        <v>220</v>
      </c>
      <c r="B255" s="51" t="s">
        <v>221</v>
      </c>
      <c r="C255" s="56">
        <v>15000</v>
      </c>
      <c r="D255" s="521"/>
      <c r="E255" s="521"/>
      <c r="F255" s="521"/>
      <c r="G255" s="438"/>
      <c r="H255" s="521"/>
      <c r="I255" s="521"/>
    </row>
    <row r="256" spans="1:9" x14ac:dyDescent="0.25">
      <c r="A256" s="157"/>
      <c r="B256" s="51"/>
      <c r="C256" s="56"/>
      <c r="D256" s="521"/>
      <c r="E256" s="521"/>
      <c r="F256" s="521"/>
      <c r="G256" s="438"/>
      <c r="H256" s="521"/>
      <c r="I256" s="521"/>
    </row>
    <row r="257" spans="1:9" x14ac:dyDescent="0.25">
      <c r="A257" s="157"/>
      <c r="B257" s="51"/>
      <c r="C257" s="56"/>
      <c r="D257" s="521"/>
      <c r="E257" s="521"/>
      <c r="F257" s="521"/>
      <c r="G257" s="438"/>
      <c r="H257" s="521"/>
      <c r="I257" s="521"/>
    </row>
    <row r="258" spans="1:9" x14ac:dyDescent="0.25">
      <c r="A258" s="157"/>
      <c r="B258" s="51"/>
      <c r="C258" s="56"/>
      <c r="D258" s="521"/>
      <c r="E258" s="521"/>
      <c r="F258" s="521"/>
      <c r="G258" s="438"/>
      <c r="H258" s="521"/>
      <c r="I258" s="521"/>
    </row>
    <row r="259" spans="1:9" x14ac:dyDescent="0.25">
      <c r="A259" s="157"/>
      <c r="B259" s="51"/>
      <c r="C259" s="56"/>
      <c r="D259" s="521"/>
      <c r="E259" s="521"/>
      <c r="F259" s="521"/>
      <c r="G259" s="438"/>
      <c r="H259" s="521"/>
      <c r="I259" s="521"/>
    </row>
    <row r="260" spans="1:9" x14ac:dyDescent="0.25">
      <c r="A260" s="157"/>
      <c r="B260" s="51"/>
      <c r="C260" s="56"/>
      <c r="D260" s="521"/>
      <c r="E260" s="521"/>
      <c r="F260" s="521"/>
      <c r="G260" s="438"/>
      <c r="H260" s="521"/>
      <c r="I260" s="521"/>
    </row>
    <row r="261" spans="1:9" x14ac:dyDescent="0.25">
      <c r="A261" s="475"/>
      <c r="B261" s="440" t="s">
        <v>479</v>
      </c>
      <c r="C261" s="441"/>
      <c r="D261" s="523"/>
      <c r="E261" s="523"/>
      <c r="F261" s="523">
        <f>SUM(F256:F260)</f>
        <v>0</v>
      </c>
      <c r="G261" s="443"/>
      <c r="H261" s="524">
        <f>D261-F261</f>
        <v>0</v>
      </c>
      <c r="I261" s="523">
        <f>SUM(I256:I260)</f>
        <v>0</v>
      </c>
    </row>
    <row r="262" spans="1:9" x14ac:dyDescent="0.25">
      <c r="A262" s="157" t="s">
        <v>223</v>
      </c>
      <c r="B262" s="51" t="s">
        <v>224</v>
      </c>
      <c r="C262" s="56">
        <v>2000</v>
      </c>
      <c r="D262" s="521"/>
      <c r="E262" s="521"/>
      <c r="F262" s="521"/>
      <c r="G262" s="438"/>
      <c r="H262" s="521"/>
      <c r="I262" s="521"/>
    </row>
    <row r="263" spans="1:9" x14ac:dyDescent="0.25">
      <c r="A263" s="157"/>
      <c r="B263" s="51"/>
      <c r="C263" s="56"/>
      <c r="D263" s="521"/>
      <c r="E263" s="521"/>
      <c r="F263" s="521"/>
      <c r="G263" s="438"/>
      <c r="H263" s="521"/>
      <c r="I263" s="521"/>
    </row>
    <row r="264" spans="1:9" x14ac:dyDescent="0.25">
      <c r="A264" s="157"/>
      <c r="B264" s="51"/>
      <c r="C264" s="56"/>
      <c r="D264" s="521"/>
      <c r="E264" s="521"/>
      <c r="F264" s="521"/>
      <c r="G264" s="438"/>
      <c r="H264" s="521"/>
      <c r="I264" s="521"/>
    </row>
    <row r="265" spans="1:9" x14ac:dyDescent="0.25">
      <c r="A265" s="157"/>
      <c r="B265" s="51"/>
      <c r="C265" s="56"/>
      <c r="D265" s="521"/>
      <c r="E265" s="521"/>
      <c r="F265" s="521"/>
      <c r="G265" s="438"/>
      <c r="H265" s="521"/>
      <c r="I265" s="521"/>
    </row>
    <row r="266" spans="1:9" x14ac:dyDescent="0.25">
      <c r="A266" s="157"/>
      <c r="B266" s="51"/>
      <c r="C266" s="56"/>
      <c r="D266" s="521"/>
      <c r="E266" s="521"/>
      <c r="F266" s="521"/>
      <c r="G266" s="438"/>
      <c r="H266" s="521"/>
      <c r="I266" s="521"/>
    </row>
    <row r="267" spans="1:9" x14ac:dyDescent="0.25">
      <c r="A267" s="475"/>
      <c r="B267" s="440" t="s">
        <v>481</v>
      </c>
      <c r="C267" s="441"/>
      <c r="D267" s="523"/>
      <c r="E267" s="523"/>
      <c r="F267" s="523">
        <f>SUM(F263:F266)</f>
        <v>0</v>
      </c>
      <c r="G267" s="443"/>
      <c r="H267" s="524">
        <f>D267-F267</f>
        <v>0</v>
      </c>
      <c r="I267" s="523">
        <f>SUM(I263:I266)</f>
        <v>0</v>
      </c>
    </row>
    <row r="268" spans="1:9" x14ac:dyDescent="0.25">
      <c r="A268" s="161"/>
      <c r="B268" s="457" t="s">
        <v>225</v>
      </c>
      <c r="C268" s="75">
        <f>SUM(C244:C262)</f>
        <v>29000</v>
      </c>
      <c r="D268" s="528">
        <f>SUM(D267,D261,D254,D249)</f>
        <v>0</v>
      </c>
      <c r="E268" s="528"/>
      <c r="F268" s="528">
        <f>SUM(F267,F261,F254,F249)</f>
        <v>0</v>
      </c>
      <c r="G268" s="455"/>
      <c r="H268" s="529">
        <f>D268-F268</f>
        <v>0</v>
      </c>
      <c r="I268" s="528">
        <f>SUM(I267,I261,I254,I249)</f>
        <v>0</v>
      </c>
    </row>
    <row r="269" spans="1:9" x14ac:dyDescent="0.25">
      <c r="A269" s="445">
        <v>3.2</v>
      </c>
      <c r="B269" s="476" t="s">
        <v>226</v>
      </c>
      <c r="C269" s="358"/>
      <c r="D269" s="525"/>
      <c r="E269" s="525"/>
      <c r="F269" s="525"/>
      <c r="G269" s="447"/>
      <c r="H269" s="525"/>
      <c r="I269" s="525"/>
    </row>
    <row r="270" spans="1:9" ht="25.5" x14ac:dyDescent="0.25">
      <c r="A270" s="90" t="s">
        <v>227</v>
      </c>
      <c r="B270" s="51" t="s">
        <v>228</v>
      </c>
      <c r="C270" s="56">
        <v>24000</v>
      </c>
      <c r="D270" s="521"/>
      <c r="E270" s="521"/>
      <c r="F270" s="521"/>
      <c r="G270" s="438"/>
      <c r="H270" s="521"/>
      <c r="I270" s="521"/>
    </row>
    <row r="271" spans="1:9" ht="63.75" x14ac:dyDescent="0.25">
      <c r="A271" s="90"/>
      <c r="B271" s="51" t="s">
        <v>851</v>
      </c>
      <c r="C271" s="56"/>
      <c r="D271" s="521"/>
      <c r="E271" s="521" t="s">
        <v>838</v>
      </c>
      <c r="F271" s="521">
        <v>1800</v>
      </c>
      <c r="G271" s="438" t="s">
        <v>850</v>
      </c>
      <c r="H271" s="521"/>
      <c r="I271" s="521"/>
    </row>
    <row r="272" spans="1:9" ht="51" x14ac:dyDescent="0.25">
      <c r="A272" s="90"/>
      <c r="B272" s="51" t="s">
        <v>852</v>
      </c>
      <c r="C272" s="56"/>
      <c r="D272" s="521"/>
      <c r="E272" s="521" t="s">
        <v>838</v>
      </c>
      <c r="F272" s="521">
        <v>1800</v>
      </c>
      <c r="G272" s="438" t="s">
        <v>850</v>
      </c>
      <c r="H272" s="521"/>
      <c r="I272" s="521"/>
    </row>
    <row r="273" spans="1:9" ht="71.25" customHeight="1" x14ac:dyDescent="0.25">
      <c r="A273" s="90"/>
      <c r="B273" s="51" t="s">
        <v>853</v>
      </c>
      <c r="C273" s="56"/>
      <c r="D273" s="521"/>
      <c r="E273" s="521" t="s">
        <v>838</v>
      </c>
      <c r="F273" s="521">
        <v>8390</v>
      </c>
      <c r="G273" s="438" t="s">
        <v>854</v>
      </c>
      <c r="H273" s="521"/>
      <c r="I273" s="521"/>
    </row>
    <row r="274" spans="1:9" x14ac:dyDescent="0.25">
      <c r="A274" s="90"/>
      <c r="B274" s="51"/>
      <c r="C274" s="56"/>
      <c r="D274" s="521"/>
      <c r="E274" s="521"/>
      <c r="F274" s="521"/>
      <c r="G274" s="438"/>
      <c r="H274" s="521"/>
      <c r="I274" s="521"/>
    </row>
    <row r="275" spans="1:9" x14ac:dyDescent="0.25">
      <c r="A275" s="449"/>
      <c r="B275" s="440" t="s">
        <v>482</v>
      </c>
      <c r="C275" s="441"/>
      <c r="D275" s="523">
        <v>6000</v>
      </c>
      <c r="E275" s="523"/>
      <c r="F275" s="523">
        <f>SUM(F271:F274)</f>
        <v>11990</v>
      </c>
      <c r="G275" s="443"/>
      <c r="H275" s="524">
        <f>D275-F275</f>
        <v>-5990</v>
      </c>
      <c r="I275" s="523">
        <f>SUM(I271:I274)</f>
        <v>0</v>
      </c>
    </row>
    <row r="276" spans="1:9" x14ac:dyDescent="0.25">
      <c r="A276" s="90" t="s">
        <v>229</v>
      </c>
      <c r="B276" s="51" t="s">
        <v>230</v>
      </c>
      <c r="C276" s="56">
        <v>4000</v>
      </c>
      <c r="D276" s="521"/>
      <c r="E276" s="521"/>
      <c r="F276" s="521"/>
      <c r="G276" s="438"/>
      <c r="H276" s="521"/>
      <c r="I276" s="521"/>
    </row>
    <row r="277" spans="1:9" x14ac:dyDescent="0.25">
      <c r="A277" s="90"/>
      <c r="B277" s="51"/>
      <c r="C277" s="56"/>
      <c r="D277" s="521"/>
      <c r="E277" s="521"/>
      <c r="F277" s="521"/>
      <c r="G277" s="438"/>
      <c r="H277" s="521"/>
      <c r="I277" s="521"/>
    </row>
    <row r="278" spans="1:9" x14ac:dyDescent="0.25">
      <c r="A278" s="90"/>
      <c r="B278" s="51"/>
      <c r="C278" s="56"/>
      <c r="D278" s="521"/>
      <c r="E278" s="521"/>
      <c r="F278" s="521"/>
      <c r="G278" s="438"/>
      <c r="H278" s="521"/>
      <c r="I278" s="521"/>
    </row>
    <row r="279" spans="1:9" x14ac:dyDescent="0.25">
      <c r="A279" s="90"/>
      <c r="B279" s="51"/>
      <c r="C279" s="56"/>
      <c r="D279" s="521"/>
      <c r="E279" s="521"/>
      <c r="F279" s="521"/>
      <c r="G279" s="438"/>
      <c r="H279" s="521"/>
      <c r="I279" s="521"/>
    </row>
    <row r="280" spans="1:9" x14ac:dyDescent="0.25">
      <c r="A280" s="449"/>
      <c r="B280" s="440" t="s">
        <v>483</v>
      </c>
      <c r="C280" s="441"/>
      <c r="D280" s="523">
        <v>2000</v>
      </c>
      <c r="E280" s="523"/>
      <c r="F280" s="523">
        <f>SUM(F277:F279)</f>
        <v>0</v>
      </c>
      <c r="G280" s="443"/>
      <c r="H280" s="524">
        <f>D280-F280</f>
        <v>2000</v>
      </c>
      <c r="I280" s="523">
        <f>SUM(I277:I279)</f>
        <v>0</v>
      </c>
    </row>
    <row r="281" spans="1:9" x14ac:dyDescent="0.25">
      <c r="A281" s="164"/>
      <c r="B281" s="457" t="s">
        <v>231</v>
      </c>
      <c r="C281" s="165">
        <f>SUM(C270:C276)</f>
        <v>28000</v>
      </c>
      <c r="D281" s="528">
        <f>SUM(D280,D275)</f>
        <v>8000</v>
      </c>
      <c r="E281" s="528"/>
      <c r="F281" s="528">
        <f>SUM(F280,F275)</f>
        <v>11990</v>
      </c>
      <c r="G281" s="455"/>
      <c r="H281" s="529">
        <f>D281-F281</f>
        <v>-3990</v>
      </c>
      <c r="I281" s="528">
        <f>SUM(I280,I275)</f>
        <v>0</v>
      </c>
    </row>
    <row r="282" spans="1:9" ht="25.5" x14ac:dyDescent="0.25">
      <c r="A282" s="445">
        <v>3.3</v>
      </c>
      <c r="B282" s="476" t="s">
        <v>232</v>
      </c>
      <c r="C282" s="358"/>
      <c r="D282" s="525"/>
      <c r="E282" s="525"/>
      <c r="F282" s="525"/>
      <c r="G282" s="447"/>
      <c r="H282" s="525"/>
      <c r="I282" s="525"/>
    </row>
    <row r="283" spans="1:9" x14ac:dyDescent="0.25">
      <c r="A283" s="90" t="s">
        <v>233</v>
      </c>
      <c r="B283" s="51" t="s">
        <v>234</v>
      </c>
      <c r="C283" s="56">
        <v>4000</v>
      </c>
      <c r="D283" s="521"/>
      <c r="E283" s="521"/>
      <c r="F283" s="521"/>
      <c r="G283" s="438"/>
      <c r="H283" s="521"/>
      <c r="I283" s="521"/>
    </row>
    <row r="284" spans="1:9" x14ac:dyDescent="0.25">
      <c r="A284" s="90"/>
      <c r="B284" s="51"/>
      <c r="C284" s="56"/>
      <c r="D284" s="521"/>
      <c r="E284" s="521"/>
      <c r="F284" s="521"/>
      <c r="G284" s="438"/>
      <c r="H284" s="521"/>
      <c r="I284" s="521"/>
    </row>
    <row r="285" spans="1:9" x14ac:dyDescent="0.25">
      <c r="A285" s="449"/>
      <c r="B285" s="440" t="s">
        <v>488</v>
      </c>
      <c r="C285" s="441"/>
      <c r="D285" s="523"/>
      <c r="E285" s="523"/>
      <c r="F285" s="523">
        <f>SUM(F284:F284)</f>
        <v>0</v>
      </c>
      <c r="G285" s="443"/>
      <c r="H285" s="524">
        <f>D285-F285</f>
        <v>0</v>
      </c>
      <c r="I285" s="523">
        <f>SUM(I284:I284)</f>
        <v>0</v>
      </c>
    </row>
    <row r="286" spans="1:9" ht="27" customHeight="1" x14ac:dyDescent="0.25">
      <c r="A286" s="90" t="s">
        <v>235</v>
      </c>
      <c r="B286" s="51" t="s">
        <v>236</v>
      </c>
      <c r="C286" s="56">
        <v>9840</v>
      </c>
      <c r="D286" s="521"/>
      <c r="E286" s="521"/>
      <c r="F286" s="521"/>
      <c r="G286" s="438"/>
      <c r="H286" s="521"/>
      <c r="I286" s="521"/>
    </row>
    <row r="287" spans="1:9" x14ac:dyDescent="0.25">
      <c r="A287" s="90"/>
      <c r="B287" s="51"/>
      <c r="C287" s="56"/>
      <c r="D287" s="521"/>
      <c r="E287" s="521"/>
      <c r="F287" s="521"/>
      <c r="G287" s="438"/>
      <c r="H287" s="521"/>
      <c r="I287" s="521"/>
    </row>
    <row r="288" spans="1:9" x14ac:dyDescent="0.25">
      <c r="A288" s="90"/>
      <c r="B288" s="51"/>
      <c r="C288" s="56"/>
      <c r="D288" s="521"/>
      <c r="E288" s="521"/>
      <c r="F288" s="521"/>
      <c r="G288" s="438"/>
      <c r="H288" s="521"/>
      <c r="I288" s="521"/>
    </row>
    <row r="289" spans="1:9" x14ac:dyDescent="0.25">
      <c r="A289" s="449"/>
      <c r="B289" s="440" t="s">
        <v>483</v>
      </c>
      <c r="C289" s="441"/>
      <c r="D289" s="523"/>
      <c r="E289" s="523"/>
      <c r="F289" s="523">
        <f>SUM(F287:F288)</f>
        <v>0</v>
      </c>
      <c r="G289" s="443"/>
      <c r="H289" s="524">
        <f>D289-F289</f>
        <v>0</v>
      </c>
      <c r="I289" s="523">
        <f>SUM(I287:I288)</f>
        <v>0</v>
      </c>
    </row>
    <row r="290" spans="1:9" ht="25.5" x14ac:dyDescent="0.25">
      <c r="A290" s="90" t="s">
        <v>237</v>
      </c>
      <c r="B290" s="51" t="s">
        <v>238</v>
      </c>
      <c r="C290" s="56">
        <v>10000</v>
      </c>
      <c r="D290" s="521"/>
      <c r="E290" s="521"/>
      <c r="F290" s="521"/>
      <c r="G290" s="438"/>
      <c r="H290" s="521"/>
      <c r="I290" s="521"/>
    </row>
    <row r="291" spans="1:9" x14ac:dyDescent="0.25">
      <c r="A291" s="90"/>
      <c r="B291" s="51"/>
      <c r="C291" s="56"/>
      <c r="D291" s="521"/>
      <c r="E291" s="521"/>
      <c r="F291" s="521"/>
      <c r="G291" s="438"/>
      <c r="H291" s="521"/>
      <c r="I291" s="521"/>
    </row>
    <row r="292" spans="1:9" x14ac:dyDescent="0.25">
      <c r="A292" s="90"/>
      <c r="B292" s="51"/>
      <c r="C292" s="56"/>
      <c r="D292" s="521"/>
      <c r="E292" s="521"/>
      <c r="F292" s="521"/>
      <c r="G292" s="438"/>
      <c r="H292" s="521"/>
      <c r="I292" s="521"/>
    </row>
    <row r="293" spans="1:9" x14ac:dyDescent="0.25">
      <c r="A293" s="90"/>
      <c r="B293" s="51"/>
      <c r="C293" s="56"/>
      <c r="D293" s="521"/>
      <c r="E293" s="521"/>
      <c r="F293" s="521"/>
      <c r="G293" s="438"/>
      <c r="H293" s="521"/>
      <c r="I293" s="521"/>
    </row>
    <row r="294" spans="1:9" x14ac:dyDescent="0.25">
      <c r="A294" s="449"/>
      <c r="B294" s="440" t="s">
        <v>491</v>
      </c>
      <c r="C294" s="441"/>
      <c r="D294" s="523"/>
      <c r="E294" s="523"/>
      <c r="F294" s="523">
        <f>SUM(F291:F293)</f>
        <v>0</v>
      </c>
      <c r="G294" s="443"/>
      <c r="H294" s="524">
        <f>D294-F294</f>
        <v>0</v>
      </c>
      <c r="I294" s="523">
        <f>SUM(I291:I293)</f>
        <v>0</v>
      </c>
    </row>
    <row r="295" spans="1:9" x14ac:dyDescent="0.25">
      <c r="A295" s="90" t="s">
        <v>240</v>
      </c>
      <c r="B295" s="51" t="s">
        <v>241</v>
      </c>
      <c r="C295" s="56">
        <v>1000</v>
      </c>
      <c r="D295" s="521"/>
      <c r="E295" s="521"/>
      <c r="F295" s="521"/>
      <c r="G295" s="438"/>
      <c r="H295" s="521"/>
      <c r="I295" s="521"/>
    </row>
    <row r="296" spans="1:9" x14ac:dyDescent="0.25">
      <c r="A296" s="90"/>
      <c r="B296" s="51"/>
      <c r="C296" s="56"/>
      <c r="D296" s="521"/>
      <c r="E296" s="521"/>
      <c r="F296" s="521"/>
      <c r="G296" s="438"/>
      <c r="H296" s="521"/>
      <c r="I296" s="521"/>
    </row>
    <row r="297" spans="1:9" x14ac:dyDescent="0.25">
      <c r="A297" s="449"/>
      <c r="B297" s="440" t="s">
        <v>493</v>
      </c>
      <c r="C297" s="441"/>
      <c r="D297" s="523"/>
      <c r="E297" s="523"/>
      <c r="F297" s="523">
        <f>SUM(F296:F296)</f>
        <v>0</v>
      </c>
      <c r="G297" s="443"/>
      <c r="H297" s="524">
        <f>D297-F297</f>
        <v>0</v>
      </c>
      <c r="I297" s="523">
        <f>SUM(I296:I296)</f>
        <v>0</v>
      </c>
    </row>
    <row r="298" spans="1:9" x14ac:dyDescent="0.25">
      <c r="A298" s="94"/>
      <c r="B298" s="457" t="s">
        <v>242</v>
      </c>
      <c r="C298" s="97">
        <f>SUM(C283:C295)</f>
        <v>24840</v>
      </c>
      <c r="D298" s="528">
        <f>SUM(D297,D294,D289,D285)</f>
        <v>0</v>
      </c>
      <c r="E298" s="528"/>
      <c r="F298" s="528">
        <f>SUM(F297,F294,F289,F285)</f>
        <v>0</v>
      </c>
      <c r="G298" s="455"/>
      <c r="H298" s="529">
        <f>D298-F298</f>
        <v>0</v>
      </c>
      <c r="I298" s="528">
        <f>SUM(I297,I294,I289,I285)</f>
        <v>0</v>
      </c>
    </row>
    <row r="299" spans="1:9" x14ac:dyDescent="0.25">
      <c r="A299" s="359"/>
      <c r="B299" s="462" t="s">
        <v>243</v>
      </c>
      <c r="C299" s="98">
        <f>SUM(C298,C281,C268)</f>
        <v>81840</v>
      </c>
      <c r="D299" s="533">
        <f>SUM(D298,D281,D268)</f>
        <v>8000</v>
      </c>
      <c r="E299" s="533"/>
      <c r="F299" s="533">
        <f>SUM(F298,F281,F268)</f>
        <v>11990</v>
      </c>
      <c r="G299" s="464"/>
      <c r="H299" s="534">
        <f>D299-F299</f>
        <v>-3990</v>
      </c>
      <c r="I299" s="533">
        <f>SUM(I298,I281,I268)</f>
        <v>0</v>
      </c>
    </row>
    <row r="300" spans="1:9" x14ac:dyDescent="0.25">
      <c r="A300" s="116"/>
      <c r="B300" s="466" t="s">
        <v>244</v>
      </c>
      <c r="C300" s="119"/>
      <c r="D300" s="537"/>
      <c r="E300" s="537"/>
      <c r="F300" s="537"/>
      <c r="G300" s="474"/>
      <c r="H300" s="537"/>
      <c r="I300" s="537"/>
    </row>
    <row r="301" spans="1:9" x14ac:dyDescent="0.25">
      <c r="A301" s="445">
        <v>4.0999999999999996</v>
      </c>
      <c r="B301" s="476" t="s">
        <v>245</v>
      </c>
      <c r="C301" s="366"/>
      <c r="D301" s="525"/>
      <c r="E301" s="525"/>
      <c r="F301" s="525"/>
      <c r="G301" s="447"/>
      <c r="H301" s="525"/>
      <c r="I301" s="525"/>
    </row>
    <row r="302" spans="1:9" x14ac:dyDescent="0.25">
      <c r="A302" s="170" t="s">
        <v>246</v>
      </c>
      <c r="B302" s="51" t="s">
        <v>247</v>
      </c>
      <c r="C302" s="56">
        <v>54000</v>
      </c>
      <c r="D302" s="521"/>
      <c r="E302" s="521"/>
      <c r="F302" s="521"/>
      <c r="G302" s="438"/>
      <c r="H302" s="521"/>
      <c r="I302" s="521"/>
    </row>
    <row r="303" spans="1:9" ht="63.75" x14ac:dyDescent="0.25">
      <c r="A303" s="170"/>
      <c r="B303" s="51" t="s">
        <v>765</v>
      </c>
      <c r="C303" s="56"/>
      <c r="D303" s="521"/>
      <c r="E303" s="521" t="s">
        <v>759</v>
      </c>
      <c r="F303" s="521">
        <v>1158</v>
      </c>
      <c r="G303" s="438" t="s">
        <v>766</v>
      </c>
      <c r="H303" s="521"/>
      <c r="I303" s="521"/>
    </row>
    <row r="304" spans="1:9" ht="63.75" x14ac:dyDescent="0.25">
      <c r="A304" s="170"/>
      <c r="B304" s="51" t="s">
        <v>769</v>
      </c>
      <c r="C304" s="56"/>
      <c r="D304" s="521"/>
      <c r="E304" s="521" t="s">
        <v>759</v>
      </c>
      <c r="F304" s="521">
        <v>5344</v>
      </c>
      <c r="G304" s="438" t="s">
        <v>770</v>
      </c>
      <c r="H304" s="521"/>
      <c r="I304" s="521"/>
    </row>
    <row r="305" spans="1:9" ht="63.75" x14ac:dyDescent="0.25">
      <c r="A305" s="170"/>
      <c r="B305" s="51" t="s">
        <v>775</v>
      </c>
      <c r="C305" s="56"/>
      <c r="D305" s="521"/>
      <c r="E305" s="521" t="s">
        <v>759</v>
      </c>
      <c r="F305" s="521">
        <v>1120</v>
      </c>
      <c r="G305" s="438" t="s">
        <v>776</v>
      </c>
      <c r="H305" s="521"/>
      <c r="I305" s="521"/>
    </row>
    <row r="306" spans="1:9" ht="51" x14ac:dyDescent="0.25">
      <c r="A306" s="170"/>
      <c r="B306" s="51" t="s">
        <v>780</v>
      </c>
      <c r="C306" s="56"/>
      <c r="D306" s="521"/>
      <c r="E306" s="521" t="s">
        <v>759</v>
      </c>
      <c r="F306" s="521">
        <v>9000</v>
      </c>
      <c r="G306" s="438" t="s">
        <v>781</v>
      </c>
      <c r="H306" s="521"/>
      <c r="I306" s="521"/>
    </row>
    <row r="307" spans="1:9" x14ac:dyDescent="0.25">
      <c r="A307" s="477"/>
      <c r="B307" s="440" t="s">
        <v>494</v>
      </c>
      <c r="C307" s="441"/>
      <c r="D307" s="523"/>
      <c r="E307" s="523"/>
      <c r="F307" s="523">
        <f>SUM(F303:F306)</f>
        <v>16622</v>
      </c>
      <c r="G307" s="443"/>
      <c r="H307" s="524">
        <f>D307-F307</f>
        <v>-16622</v>
      </c>
      <c r="I307" s="523">
        <f>SUM(I303:I306)</f>
        <v>0</v>
      </c>
    </row>
    <row r="308" spans="1:9" x14ac:dyDescent="0.25">
      <c r="A308" s="170" t="s">
        <v>249</v>
      </c>
      <c r="B308" s="51" t="s">
        <v>250</v>
      </c>
      <c r="C308" s="56">
        <v>7200</v>
      </c>
      <c r="D308" s="521"/>
      <c r="E308" s="521"/>
      <c r="F308" s="521"/>
      <c r="G308" s="438"/>
      <c r="H308" s="521"/>
      <c r="I308" s="521"/>
    </row>
    <row r="309" spans="1:9" ht="63.75" x14ac:dyDescent="0.25">
      <c r="A309" s="170"/>
      <c r="B309" s="51" t="s">
        <v>777</v>
      </c>
      <c r="C309" s="56"/>
      <c r="D309" s="521"/>
      <c r="E309" s="521" t="s">
        <v>759</v>
      </c>
      <c r="F309" s="521">
        <v>2370</v>
      </c>
      <c r="G309" s="438" t="s">
        <v>776</v>
      </c>
      <c r="H309" s="521"/>
      <c r="I309" s="521"/>
    </row>
    <row r="310" spans="1:9" x14ac:dyDescent="0.25">
      <c r="A310" s="170"/>
      <c r="B310" s="51"/>
      <c r="C310" s="56"/>
      <c r="D310" s="521"/>
      <c r="E310" s="521"/>
      <c r="F310" s="521"/>
      <c r="G310" s="438"/>
      <c r="H310" s="521"/>
      <c r="I310" s="521"/>
    </row>
    <row r="311" spans="1:9" x14ac:dyDescent="0.25">
      <c r="A311" s="170"/>
      <c r="B311" s="51"/>
      <c r="C311" s="56"/>
      <c r="D311" s="521"/>
      <c r="E311" s="521"/>
      <c r="F311" s="521"/>
      <c r="G311" s="438"/>
      <c r="H311" s="521"/>
      <c r="I311" s="521"/>
    </row>
    <row r="312" spans="1:9" x14ac:dyDescent="0.25">
      <c r="A312" s="477"/>
      <c r="B312" s="440" t="s">
        <v>495</v>
      </c>
      <c r="C312" s="441"/>
      <c r="D312" s="523"/>
      <c r="E312" s="523"/>
      <c r="F312" s="523">
        <f>SUM(F309:F311)</f>
        <v>2370</v>
      </c>
      <c r="G312" s="443"/>
      <c r="H312" s="524">
        <f>D312-F312</f>
        <v>-2370</v>
      </c>
      <c r="I312" s="523">
        <f>SUM(I309:I311)</f>
        <v>0</v>
      </c>
    </row>
    <row r="313" spans="1:9" x14ac:dyDescent="0.25">
      <c r="A313" s="478">
        <v>4.2</v>
      </c>
      <c r="B313" s="446" t="s">
        <v>251</v>
      </c>
      <c r="C313" s="479">
        <v>0</v>
      </c>
      <c r="D313" s="538"/>
      <c r="E313" s="538"/>
      <c r="F313" s="538"/>
      <c r="G313" s="480"/>
      <c r="H313" s="538"/>
      <c r="I313" s="538"/>
    </row>
    <row r="314" spans="1:9" x14ac:dyDescent="0.25">
      <c r="A314" s="170" t="s">
        <v>252</v>
      </c>
      <c r="B314" s="51" t="s">
        <v>251</v>
      </c>
      <c r="C314" s="481">
        <v>28000</v>
      </c>
      <c r="D314" s="539"/>
      <c r="E314" s="539"/>
      <c r="F314" s="539"/>
      <c r="G314" s="482"/>
      <c r="H314" s="539"/>
      <c r="I314" s="539"/>
    </row>
    <row r="315" spans="1:9" ht="51" x14ac:dyDescent="0.25">
      <c r="A315" s="170"/>
      <c r="B315" s="51" t="s">
        <v>862</v>
      </c>
      <c r="C315" s="481"/>
      <c r="D315" s="539"/>
      <c r="E315" s="569" t="s">
        <v>863</v>
      </c>
      <c r="F315" s="569">
        <v>16883</v>
      </c>
      <c r="G315" s="570" t="s">
        <v>864</v>
      </c>
      <c r="H315" s="539"/>
      <c r="I315" s="539"/>
    </row>
    <row r="316" spans="1:9" x14ac:dyDescent="0.25">
      <c r="A316" s="477"/>
      <c r="B316" s="440" t="s">
        <v>496</v>
      </c>
      <c r="C316" s="483"/>
      <c r="D316" s="540">
        <v>28000</v>
      </c>
      <c r="E316" s="540"/>
      <c r="F316" s="540">
        <f>SUM(F315)</f>
        <v>16883</v>
      </c>
      <c r="G316" s="484"/>
      <c r="H316" s="540"/>
      <c r="I316" s="540">
        <f>SUM(I315)</f>
        <v>0</v>
      </c>
    </row>
    <row r="317" spans="1:9" x14ac:dyDescent="0.25">
      <c r="A317" s="170" t="s">
        <v>253</v>
      </c>
      <c r="B317" s="51" t="s">
        <v>254</v>
      </c>
      <c r="C317" s="56">
        <v>6000</v>
      </c>
      <c r="D317" s="521"/>
      <c r="E317" s="521"/>
      <c r="F317" s="521"/>
      <c r="G317" s="438"/>
      <c r="H317" s="521"/>
      <c r="I317" s="521"/>
    </row>
    <row r="318" spans="1:9" ht="63.75" x14ac:dyDescent="0.25">
      <c r="A318" s="170"/>
      <c r="B318" s="51" t="s">
        <v>868</v>
      </c>
      <c r="C318" s="56"/>
      <c r="D318" s="521"/>
      <c r="E318" s="521" t="s">
        <v>863</v>
      </c>
      <c r="F318" s="521">
        <v>15240</v>
      </c>
      <c r="G318" s="570" t="s">
        <v>867</v>
      </c>
      <c r="H318" s="521"/>
      <c r="I318" s="521"/>
    </row>
    <row r="319" spans="1:9" x14ac:dyDescent="0.25">
      <c r="A319" s="477"/>
      <c r="B319" s="440" t="s">
        <v>497</v>
      </c>
      <c r="C319" s="441"/>
      <c r="D319" s="523">
        <v>6000</v>
      </c>
      <c r="E319" s="523"/>
      <c r="F319" s="523">
        <f>SUM(F317:F318)</f>
        <v>15240</v>
      </c>
      <c r="G319" s="443"/>
      <c r="H319" s="524">
        <f>D319-F319</f>
        <v>-9240</v>
      </c>
      <c r="I319" s="523">
        <f>SUM(I317:I318)</f>
        <v>0</v>
      </c>
    </row>
    <row r="320" spans="1:9" x14ac:dyDescent="0.25">
      <c r="A320" s="94"/>
      <c r="B320" s="457" t="s">
        <v>498</v>
      </c>
      <c r="C320" s="97">
        <f>SUM(C302:C319)</f>
        <v>95200</v>
      </c>
      <c r="D320" s="528">
        <f>SUM(D316,D319,D312,D307)</f>
        <v>34000</v>
      </c>
      <c r="E320" s="528"/>
      <c r="F320" s="528">
        <f>SUM(F316,F319,F312,F307)</f>
        <v>51115</v>
      </c>
      <c r="G320" s="528"/>
      <c r="H320" s="529">
        <f>D320-F320</f>
        <v>-17115</v>
      </c>
      <c r="I320" s="528">
        <f>SUM(I316,I319,I312,I307)</f>
        <v>0</v>
      </c>
    </row>
    <row r="321" spans="1:9" x14ac:dyDescent="0.25">
      <c r="A321" s="445">
        <v>4.3</v>
      </c>
      <c r="B321" s="452" t="s">
        <v>257</v>
      </c>
      <c r="C321" s="366"/>
      <c r="D321" s="525"/>
      <c r="E321" s="525"/>
      <c r="F321" s="525"/>
      <c r="G321" s="447"/>
      <c r="H321" s="525"/>
      <c r="I321" s="525"/>
    </row>
    <row r="322" spans="1:9" x14ac:dyDescent="0.25">
      <c r="A322" s="70" t="s">
        <v>258</v>
      </c>
      <c r="B322" s="51" t="s">
        <v>259</v>
      </c>
      <c r="C322" s="56">
        <v>8640</v>
      </c>
      <c r="D322" s="521"/>
      <c r="E322" s="521"/>
      <c r="F322" s="521"/>
      <c r="G322" s="438"/>
      <c r="H322" s="521"/>
      <c r="I322" s="521"/>
    </row>
    <row r="323" spans="1:9" ht="51" x14ac:dyDescent="0.25">
      <c r="A323" s="70"/>
      <c r="B323" s="51" t="s">
        <v>803</v>
      </c>
      <c r="C323" s="56"/>
      <c r="D323" s="521"/>
      <c r="E323" s="521" t="s">
        <v>797</v>
      </c>
      <c r="F323" s="521">
        <v>720</v>
      </c>
      <c r="G323" s="438" t="s">
        <v>804</v>
      </c>
      <c r="H323" s="521"/>
      <c r="I323" s="521"/>
    </row>
    <row r="324" spans="1:9" ht="51" x14ac:dyDescent="0.25">
      <c r="A324" s="70"/>
      <c r="B324" s="51" t="s">
        <v>818</v>
      </c>
      <c r="C324" s="56"/>
      <c r="D324" s="521"/>
      <c r="E324" s="521" t="s">
        <v>812</v>
      </c>
      <c r="F324" s="521">
        <v>600</v>
      </c>
      <c r="G324" s="438" t="s">
        <v>817</v>
      </c>
      <c r="H324" s="521"/>
      <c r="I324" s="521"/>
    </row>
    <row r="325" spans="1:9" ht="51" x14ac:dyDescent="0.25">
      <c r="A325" s="70"/>
      <c r="B325" s="51" t="s">
        <v>917</v>
      </c>
      <c r="C325" s="56"/>
      <c r="D325" s="521"/>
      <c r="E325" s="521" t="s">
        <v>898</v>
      </c>
      <c r="F325" s="521">
        <v>720</v>
      </c>
      <c r="G325" s="438" t="s">
        <v>918</v>
      </c>
      <c r="H325" s="521"/>
      <c r="I325" s="521"/>
    </row>
    <row r="326" spans="1:9" x14ac:dyDescent="0.25">
      <c r="A326" s="449"/>
      <c r="B326" s="440" t="s">
        <v>505</v>
      </c>
      <c r="C326" s="441"/>
      <c r="D326" s="523">
        <v>2160</v>
      </c>
      <c r="E326" s="523"/>
      <c r="F326" s="523">
        <f>SUM(F323:F325)</f>
        <v>2040</v>
      </c>
      <c r="G326" s="443"/>
      <c r="H326" s="524">
        <f>D326-F326</f>
        <v>120</v>
      </c>
      <c r="I326" s="523">
        <f>SUM(I323:I325)</f>
        <v>0</v>
      </c>
    </row>
    <row r="327" spans="1:9" x14ac:dyDescent="0.25">
      <c r="A327" s="94"/>
      <c r="B327" s="457" t="s">
        <v>506</v>
      </c>
      <c r="C327" s="97">
        <f>SUM(C322:C326)</f>
        <v>8640</v>
      </c>
      <c r="D327" s="528">
        <f>D326</f>
        <v>2160</v>
      </c>
      <c r="E327" s="528"/>
      <c r="F327" s="528">
        <f>F326</f>
        <v>2040</v>
      </c>
      <c r="G327" s="528"/>
      <c r="H327" s="529">
        <f>D327-F327</f>
        <v>120</v>
      </c>
      <c r="I327" s="528">
        <f>I326</f>
        <v>0</v>
      </c>
    </row>
    <row r="328" spans="1:9" x14ac:dyDescent="0.25">
      <c r="A328" s="485" t="s">
        <v>350</v>
      </c>
      <c r="B328" s="486" t="s">
        <v>262</v>
      </c>
      <c r="C328" s="487">
        <v>44420</v>
      </c>
      <c r="D328" s="541"/>
      <c r="E328" s="541"/>
      <c r="F328" s="541"/>
      <c r="G328" s="488"/>
      <c r="H328" s="542"/>
      <c r="I328" s="541"/>
    </row>
    <row r="329" spans="1:9" x14ac:dyDescent="0.25">
      <c r="A329" s="490"/>
      <c r="B329" s="62"/>
      <c r="C329" s="56"/>
      <c r="D329" s="521"/>
      <c r="E329" s="521"/>
      <c r="F329" s="521"/>
      <c r="G329" s="438"/>
      <c r="H329" s="543"/>
      <c r="I329" s="521"/>
    </row>
    <row r="330" spans="1:9" x14ac:dyDescent="0.25">
      <c r="A330" s="490"/>
      <c r="B330" s="62"/>
      <c r="C330" s="56"/>
      <c r="D330" s="521"/>
      <c r="E330" s="521"/>
      <c r="F330" s="521"/>
      <c r="G330" s="438"/>
      <c r="H330" s="543"/>
      <c r="I330" s="521"/>
    </row>
    <row r="331" spans="1:9" x14ac:dyDescent="0.25">
      <c r="A331" s="449"/>
      <c r="B331" s="440" t="s">
        <v>507</v>
      </c>
      <c r="C331" s="441"/>
      <c r="D331" s="523"/>
      <c r="E331" s="523"/>
      <c r="F331" s="523"/>
      <c r="G331" s="443"/>
      <c r="H331" s="524"/>
      <c r="I331" s="523"/>
    </row>
    <row r="332" spans="1:9" x14ac:dyDescent="0.25">
      <c r="A332" s="94"/>
      <c r="B332" s="457" t="s">
        <v>508</v>
      </c>
      <c r="C332" s="97">
        <f>C328</f>
        <v>44420</v>
      </c>
      <c r="D332" s="528">
        <f>D331</f>
        <v>0</v>
      </c>
      <c r="E332" s="528"/>
      <c r="F332" s="528">
        <f>F326</f>
        <v>2040</v>
      </c>
      <c r="G332" s="455"/>
      <c r="H332" s="529">
        <f>D332-F332</f>
        <v>-2040</v>
      </c>
      <c r="I332" s="528">
        <f>I326</f>
        <v>0</v>
      </c>
    </row>
    <row r="333" spans="1:9" x14ac:dyDescent="0.25">
      <c r="A333" s="359"/>
      <c r="B333" s="462" t="s">
        <v>265</v>
      </c>
      <c r="C333" s="98">
        <f>SUM(C332,C320,C327)</f>
        <v>148260</v>
      </c>
      <c r="D333" s="533">
        <f>SUM(D332,D320,D327)</f>
        <v>36160</v>
      </c>
      <c r="E333" s="533"/>
      <c r="F333" s="533">
        <f>SUM(F332,F320)</f>
        <v>53155</v>
      </c>
      <c r="G333" s="464"/>
      <c r="H333" s="534">
        <f>D333-F333</f>
        <v>-16995</v>
      </c>
      <c r="I333" s="533">
        <f>SUM(I332,I320)</f>
        <v>0</v>
      </c>
    </row>
    <row r="334" spans="1:9" x14ac:dyDescent="0.25">
      <c r="A334" s="388"/>
      <c r="B334" s="492" t="s">
        <v>266</v>
      </c>
      <c r="C334" s="390">
        <f>SUM(C333,C299,C241,C84)</f>
        <v>906900</v>
      </c>
      <c r="D334" s="390">
        <f>SUM(D84+D241+D299+D333)</f>
        <v>123440</v>
      </c>
      <c r="E334" s="544"/>
      <c r="F334" s="545">
        <f>SUM(F333,F299,F241,F84)</f>
        <v>173970</v>
      </c>
      <c r="G334" s="494"/>
      <c r="H334" s="546">
        <f>D334-F334</f>
        <v>-50530</v>
      </c>
      <c r="I334" s="545">
        <f>SUM(I333,I299,I241,I84)</f>
        <v>220100</v>
      </c>
    </row>
    <row r="335" spans="1:9" x14ac:dyDescent="0.25">
      <c r="A335" s="497">
        <v>5</v>
      </c>
      <c r="B335" s="498" t="s">
        <v>267</v>
      </c>
      <c r="C335" s="363"/>
      <c r="D335" s="525"/>
      <c r="E335" s="525"/>
      <c r="F335" s="525"/>
      <c r="G335" s="447"/>
      <c r="H335" s="525"/>
      <c r="I335" s="525"/>
    </row>
    <row r="336" spans="1:9" x14ac:dyDescent="0.25">
      <c r="A336" s="124">
        <v>5.0999999999999996</v>
      </c>
      <c r="B336" s="199" t="s">
        <v>268</v>
      </c>
      <c r="C336" s="56">
        <v>0</v>
      </c>
      <c r="D336" s="521"/>
      <c r="E336" s="521"/>
      <c r="F336" s="521"/>
      <c r="G336" s="438"/>
      <c r="H336" s="521"/>
      <c r="I336" s="521"/>
    </row>
    <row r="337" spans="1:9" x14ac:dyDescent="0.25">
      <c r="A337" s="388"/>
      <c r="B337" s="492" t="s">
        <v>270</v>
      </c>
      <c r="C337" s="390">
        <f>C336</f>
        <v>0</v>
      </c>
      <c r="D337" s="544">
        <f>D336</f>
        <v>0</v>
      </c>
      <c r="E337" s="544"/>
      <c r="F337" s="544">
        <f>F336</f>
        <v>0</v>
      </c>
      <c r="G337" s="494"/>
      <c r="H337" s="546">
        <f>D337-F337</f>
        <v>0</v>
      </c>
      <c r="I337" s="544">
        <f>I336</f>
        <v>0</v>
      </c>
    </row>
    <row r="338" spans="1:9" x14ac:dyDescent="0.25">
      <c r="A338" s="397">
        <v>6</v>
      </c>
      <c r="B338" s="499" t="s">
        <v>271</v>
      </c>
      <c r="C338" s="399"/>
      <c r="D338" s="525"/>
      <c r="E338" s="525"/>
      <c r="F338" s="525"/>
      <c r="G338" s="447"/>
      <c r="H338" s="525"/>
      <c r="I338" s="525"/>
    </row>
    <row r="339" spans="1:9" ht="25.5" x14ac:dyDescent="0.25">
      <c r="A339" s="209">
        <v>6.1</v>
      </c>
      <c r="B339" s="210" t="s">
        <v>272</v>
      </c>
      <c r="C339" s="56">
        <v>315000</v>
      </c>
      <c r="D339" s="521"/>
      <c r="E339" s="521"/>
      <c r="F339" s="521"/>
      <c r="G339" s="438"/>
      <c r="H339" s="521"/>
      <c r="I339" s="521"/>
    </row>
    <row r="340" spans="1:9" ht="25.5" x14ac:dyDescent="0.25">
      <c r="A340" s="209"/>
      <c r="B340" s="210" t="s">
        <v>787</v>
      </c>
      <c r="C340" s="56"/>
      <c r="D340" s="521"/>
      <c r="E340" s="521" t="s">
        <v>788</v>
      </c>
      <c r="F340" s="521">
        <v>26250</v>
      </c>
      <c r="G340" s="438" t="s">
        <v>789</v>
      </c>
      <c r="H340" s="521"/>
      <c r="I340" s="521"/>
    </row>
    <row r="341" spans="1:9" ht="30.75" customHeight="1" x14ac:dyDescent="0.25">
      <c r="A341" s="209"/>
      <c r="B341" s="210" t="s">
        <v>836</v>
      </c>
      <c r="C341" s="56"/>
      <c r="D341" s="521"/>
      <c r="E341" s="521" t="s">
        <v>838</v>
      </c>
      <c r="F341" s="521">
        <v>26250</v>
      </c>
      <c r="G341" s="438" t="s">
        <v>839</v>
      </c>
      <c r="H341" s="521"/>
      <c r="I341" s="521"/>
    </row>
    <row r="342" spans="1:9" ht="25.5" x14ac:dyDescent="0.25">
      <c r="A342" s="209"/>
      <c r="B342" s="210" t="s">
        <v>897</v>
      </c>
      <c r="C342" s="56"/>
      <c r="D342" s="521"/>
      <c r="E342" s="521" t="s">
        <v>898</v>
      </c>
      <c r="F342" s="521">
        <v>26250</v>
      </c>
      <c r="G342" s="438" t="s">
        <v>899</v>
      </c>
      <c r="H342" s="521"/>
      <c r="I342" s="521"/>
    </row>
    <row r="343" spans="1:9" x14ac:dyDescent="0.25">
      <c r="A343" s="500"/>
      <c r="B343" s="501" t="s">
        <v>515</v>
      </c>
      <c r="C343" s="441"/>
      <c r="D343" s="523">
        <v>78750</v>
      </c>
      <c r="E343" s="523"/>
      <c r="F343" s="523">
        <f>SUM(F340:F342)</f>
        <v>78750</v>
      </c>
      <c r="G343" s="443"/>
      <c r="H343" s="524">
        <f>D343-F343</f>
        <v>0</v>
      </c>
      <c r="I343" s="523">
        <f>SUM(I340:I342)</f>
        <v>0</v>
      </c>
    </row>
    <row r="344" spans="1:9" ht="35.25" customHeight="1" x14ac:dyDescent="0.25">
      <c r="A344" s="209">
        <v>6.2</v>
      </c>
      <c r="B344" s="210" t="s">
        <v>275</v>
      </c>
      <c r="C344" s="56">
        <v>252000</v>
      </c>
      <c r="D344" s="521"/>
      <c r="E344" s="521"/>
      <c r="F344" s="521"/>
      <c r="G344" s="438"/>
      <c r="H344" s="521"/>
      <c r="I344" s="521"/>
    </row>
    <row r="345" spans="1:9" ht="25.5" x14ac:dyDescent="0.25">
      <c r="A345" s="209"/>
      <c r="B345" s="210" t="s">
        <v>790</v>
      </c>
      <c r="C345" s="56"/>
      <c r="D345" s="521"/>
      <c r="E345" s="521" t="s">
        <v>788</v>
      </c>
      <c r="F345" s="521">
        <v>21000</v>
      </c>
      <c r="G345" s="438" t="s">
        <v>789</v>
      </c>
      <c r="H345" s="521"/>
      <c r="I345" s="521"/>
    </row>
    <row r="346" spans="1:9" ht="25.5" x14ac:dyDescent="0.25">
      <c r="A346" s="209"/>
      <c r="B346" s="210" t="s">
        <v>837</v>
      </c>
      <c r="C346" s="56"/>
      <c r="D346" s="521"/>
      <c r="E346" s="521" t="s">
        <v>838</v>
      </c>
      <c r="F346" s="521">
        <v>21000</v>
      </c>
      <c r="G346" s="438" t="s">
        <v>839</v>
      </c>
      <c r="H346" s="521"/>
      <c r="I346" s="521"/>
    </row>
    <row r="347" spans="1:9" ht="27" customHeight="1" x14ac:dyDescent="0.25">
      <c r="A347" s="209"/>
      <c r="B347" s="210" t="s">
        <v>900</v>
      </c>
      <c r="C347" s="56"/>
      <c r="D347" s="521"/>
      <c r="E347" s="521" t="s">
        <v>898</v>
      </c>
      <c r="F347" s="521">
        <v>21000</v>
      </c>
      <c r="G347" s="438" t="s">
        <v>899</v>
      </c>
      <c r="H347" s="521"/>
      <c r="I347" s="521"/>
    </row>
    <row r="348" spans="1:9" x14ac:dyDescent="0.25">
      <c r="A348" s="500"/>
      <c r="B348" s="501" t="s">
        <v>519</v>
      </c>
      <c r="C348" s="441"/>
      <c r="D348" s="523">
        <v>63000</v>
      </c>
      <c r="E348" s="523"/>
      <c r="F348" s="523">
        <f>SUM(F345:F347)</f>
        <v>63000</v>
      </c>
      <c r="G348" s="443"/>
      <c r="H348" s="524">
        <f>D348-F348</f>
        <v>0</v>
      </c>
      <c r="I348" s="523">
        <f>SUM(I345:I347)</f>
        <v>0</v>
      </c>
    </row>
    <row r="349" spans="1:9" ht="25.5" x14ac:dyDescent="0.25">
      <c r="A349" s="209">
        <v>6.3</v>
      </c>
      <c r="B349" s="210" t="s">
        <v>277</v>
      </c>
      <c r="C349" s="56">
        <v>604800</v>
      </c>
      <c r="D349" s="521"/>
      <c r="E349" s="521"/>
      <c r="F349" s="521"/>
      <c r="G349" s="438"/>
      <c r="H349" s="521"/>
      <c r="I349" s="521"/>
    </row>
    <row r="350" spans="1:9" ht="36" customHeight="1" x14ac:dyDescent="0.25">
      <c r="A350" s="209"/>
      <c r="B350" s="210" t="s">
        <v>791</v>
      </c>
      <c r="C350" s="56"/>
      <c r="D350" s="521"/>
      <c r="E350" s="521" t="s">
        <v>788</v>
      </c>
      <c r="F350" s="521">
        <v>12600</v>
      </c>
      <c r="G350" s="438" t="s">
        <v>794</v>
      </c>
      <c r="H350" s="521"/>
      <c r="I350" s="521"/>
    </row>
    <row r="351" spans="1:9" ht="38.25" customHeight="1" x14ac:dyDescent="0.25">
      <c r="A351" s="209"/>
      <c r="B351" s="210" t="s">
        <v>792</v>
      </c>
      <c r="C351" s="56"/>
      <c r="D351" s="521"/>
      <c r="E351" s="521" t="s">
        <v>788</v>
      </c>
      <c r="F351" s="521">
        <v>12600</v>
      </c>
      <c r="G351" s="438" t="s">
        <v>794</v>
      </c>
      <c r="H351" s="521"/>
      <c r="I351" s="521"/>
    </row>
    <row r="352" spans="1:9" ht="25.5" x14ac:dyDescent="0.25">
      <c r="A352" s="209"/>
      <c r="B352" s="210" t="s">
        <v>793</v>
      </c>
      <c r="C352" s="56"/>
      <c r="D352" s="521"/>
      <c r="E352" s="521" t="s">
        <v>788</v>
      </c>
      <c r="F352" s="521">
        <v>12600</v>
      </c>
      <c r="G352" s="438" t="s">
        <v>794</v>
      </c>
      <c r="H352" s="521"/>
      <c r="I352" s="521"/>
    </row>
    <row r="353" spans="1:9" ht="38.25" x14ac:dyDescent="0.25">
      <c r="A353" s="209"/>
      <c r="B353" s="210" t="s">
        <v>901</v>
      </c>
      <c r="C353" s="56"/>
      <c r="D353" s="521"/>
      <c r="E353" s="521" t="s">
        <v>797</v>
      </c>
      <c r="F353" s="521">
        <v>7140</v>
      </c>
      <c r="G353" s="438" t="s">
        <v>798</v>
      </c>
      <c r="H353" s="521"/>
      <c r="I353" s="521"/>
    </row>
    <row r="354" spans="1:9" ht="25.5" x14ac:dyDescent="0.25">
      <c r="A354" s="209"/>
      <c r="B354" s="210" t="s">
        <v>840</v>
      </c>
      <c r="C354" s="56"/>
      <c r="D354" s="521"/>
      <c r="E354" s="521" t="s">
        <v>838</v>
      </c>
      <c r="F354" s="521">
        <v>12600</v>
      </c>
      <c r="G354" s="438" t="s">
        <v>843</v>
      </c>
      <c r="H354" s="521"/>
      <c r="I354" s="521"/>
    </row>
    <row r="355" spans="1:9" ht="25.5" x14ac:dyDescent="0.25">
      <c r="A355" s="209"/>
      <c r="B355" s="210" t="s">
        <v>841</v>
      </c>
      <c r="C355" s="56"/>
      <c r="D355" s="521"/>
      <c r="E355" s="521" t="s">
        <v>838</v>
      </c>
      <c r="F355" s="521">
        <v>12600</v>
      </c>
      <c r="G355" s="438" t="s">
        <v>843</v>
      </c>
      <c r="H355" s="521"/>
      <c r="I355" s="521"/>
    </row>
    <row r="356" spans="1:9" ht="25.5" x14ac:dyDescent="0.25">
      <c r="A356" s="209"/>
      <c r="B356" s="210" t="s">
        <v>842</v>
      </c>
      <c r="C356" s="56"/>
      <c r="D356" s="521"/>
      <c r="E356" s="521" t="s">
        <v>838</v>
      </c>
      <c r="F356" s="521">
        <v>12600</v>
      </c>
      <c r="G356" s="438" t="s">
        <v>843</v>
      </c>
      <c r="H356" s="521"/>
      <c r="I356" s="521"/>
    </row>
    <row r="357" spans="1:9" ht="25.5" x14ac:dyDescent="0.25">
      <c r="A357" s="209"/>
      <c r="B357" s="210" t="s">
        <v>902</v>
      </c>
      <c r="C357" s="56"/>
      <c r="D357" s="521"/>
      <c r="E357" s="521" t="s">
        <v>838</v>
      </c>
      <c r="F357" s="521">
        <v>12600</v>
      </c>
      <c r="G357" s="438" t="s">
        <v>843</v>
      </c>
      <c r="H357" s="521"/>
      <c r="I357" s="521"/>
    </row>
    <row r="358" spans="1:9" ht="25.5" x14ac:dyDescent="0.25">
      <c r="A358" s="209"/>
      <c r="B358" s="210" t="s">
        <v>840</v>
      </c>
      <c r="C358" s="56"/>
      <c r="D358" s="521"/>
      <c r="E358" s="521" t="s">
        <v>898</v>
      </c>
      <c r="F358" s="521">
        <v>12600</v>
      </c>
      <c r="G358" s="438" t="s">
        <v>905</v>
      </c>
      <c r="H358" s="521"/>
      <c r="I358" s="521"/>
    </row>
    <row r="359" spans="1:9" ht="25.5" x14ac:dyDescent="0.25">
      <c r="A359" s="209"/>
      <c r="B359" s="210" t="s">
        <v>904</v>
      </c>
      <c r="C359" s="56"/>
      <c r="D359" s="521"/>
      <c r="E359" s="521" t="s">
        <v>898</v>
      </c>
      <c r="F359" s="521">
        <v>12600</v>
      </c>
      <c r="G359" s="438" t="s">
        <v>905</v>
      </c>
      <c r="H359" s="521"/>
      <c r="I359" s="521"/>
    </row>
    <row r="360" spans="1:9" ht="25.5" x14ac:dyDescent="0.25">
      <c r="A360" s="209"/>
      <c r="B360" s="210" t="s">
        <v>903</v>
      </c>
      <c r="C360" s="56"/>
      <c r="D360" s="521"/>
      <c r="E360" s="521" t="s">
        <v>898</v>
      </c>
      <c r="F360" s="521">
        <v>12600</v>
      </c>
      <c r="G360" s="438" t="s">
        <v>905</v>
      </c>
      <c r="H360" s="521"/>
      <c r="I360" s="521"/>
    </row>
    <row r="361" spans="1:9" ht="38.25" x14ac:dyDescent="0.25">
      <c r="A361" s="209"/>
      <c r="B361" s="210" t="s">
        <v>921</v>
      </c>
      <c r="C361" s="56"/>
      <c r="D361" s="521"/>
      <c r="E361" s="521" t="s">
        <v>898</v>
      </c>
      <c r="F361" s="521">
        <v>8942</v>
      </c>
      <c r="G361" s="438" t="s">
        <v>922</v>
      </c>
      <c r="H361" s="521"/>
      <c r="I361" s="521"/>
    </row>
    <row r="362" spans="1:9" x14ac:dyDescent="0.25">
      <c r="A362" s="209"/>
      <c r="B362" s="210"/>
      <c r="C362" s="56"/>
      <c r="D362" s="521"/>
      <c r="E362" s="521"/>
      <c r="F362" s="521"/>
      <c r="G362" s="438"/>
      <c r="H362" s="521"/>
      <c r="I362" s="521"/>
    </row>
    <row r="363" spans="1:9" x14ac:dyDescent="0.25">
      <c r="A363" s="500"/>
      <c r="B363" s="501" t="s">
        <v>523</v>
      </c>
      <c r="C363" s="441"/>
      <c r="D363" s="523">
        <v>151200</v>
      </c>
      <c r="E363" s="523"/>
      <c r="F363" s="523">
        <f>SUM(F350:F361)</f>
        <v>142082</v>
      </c>
      <c r="G363" s="443"/>
      <c r="H363" s="524">
        <f>D363-F363</f>
        <v>9118</v>
      </c>
      <c r="I363" s="523">
        <f>SUM(I350:I361)</f>
        <v>0</v>
      </c>
    </row>
    <row r="364" spans="1:9" x14ac:dyDescent="0.25">
      <c r="A364" s="209">
        <v>6.4</v>
      </c>
      <c r="B364" s="210" t="s">
        <v>352</v>
      </c>
      <c r="C364" s="67">
        <v>126000</v>
      </c>
      <c r="D364" s="521"/>
      <c r="E364" s="521"/>
      <c r="F364" s="521"/>
      <c r="G364" s="438"/>
      <c r="H364" s="521"/>
      <c r="I364" s="521"/>
    </row>
    <row r="365" spans="1:9" ht="39" customHeight="1" x14ac:dyDescent="0.25">
      <c r="A365" s="209"/>
      <c r="B365" s="210" t="s">
        <v>795</v>
      </c>
      <c r="C365" s="67"/>
      <c r="D365" s="521"/>
      <c r="E365" s="521" t="s">
        <v>788</v>
      </c>
      <c r="F365" s="521">
        <v>10500</v>
      </c>
      <c r="G365" s="438" t="s">
        <v>789</v>
      </c>
      <c r="H365" s="521"/>
      <c r="I365" s="521"/>
    </row>
    <row r="366" spans="1:9" ht="39" customHeight="1" x14ac:dyDescent="0.25">
      <c r="A366" s="209"/>
      <c r="B366" s="210" t="s">
        <v>844</v>
      </c>
      <c r="C366" s="67"/>
      <c r="D366" s="521"/>
      <c r="E366" s="521" t="s">
        <v>838</v>
      </c>
      <c r="F366" s="521">
        <v>10500</v>
      </c>
      <c r="G366" s="438" t="s">
        <v>843</v>
      </c>
      <c r="H366" s="521"/>
      <c r="I366" s="521"/>
    </row>
    <row r="367" spans="1:9" ht="39" customHeight="1" x14ac:dyDescent="0.25">
      <c r="A367" s="209"/>
      <c r="B367" s="210" t="s">
        <v>906</v>
      </c>
      <c r="C367" s="67"/>
      <c r="D367" s="521"/>
      <c r="E367" s="521" t="s">
        <v>898</v>
      </c>
      <c r="F367" s="521">
        <v>10500</v>
      </c>
      <c r="G367" s="438" t="s">
        <v>905</v>
      </c>
      <c r="H367" s="521"/>
      <c r="I367" s="521"/>
    </row>
    <row r="368" spans="1:9" x14ac:dyDescent="0.25">
      <c r="A368" s="500"/>
      <c r="B368" s="501" t="s">
        <v>527</v>
      </c>
      <c r="C368" s="441"/>
      <c r="D368" s="523">
        <v>31500</v>
      </c>
      <c r="E368" s="523"/>
      <c r="F368" s="523">
        <f>SUM(F365:F367)</f>
        <v>31500</v>
      </c>
      <c r="G368" s="443"/>
      <c r="H368" s="524">
        <f>D368-F368</f>
        <v>0</v>
      </c>
      <c r="I368" s="523">
        <f>SUM(I365:I367)</f>
        <v>0</v>
      </c>
    </row>
    <row r="369" spans="1:9" ht="25.5" x14ac:dyDescent="0.25">
      <c r="A369" s="209">
        <v>6.5</v>
      </c>
      <c r="B369" s="210" t="s">
        <v>281</v>
      </c>
      <c r="C369" s="56">
        <v>96000</v>
      </c>
      <c r="D369" s="521"/>
      <c r="E369" s="521"/>
      <c r="F369" s="521"/>
      <c r="G369" s="438"/>
      <c r="H369" s="543"/>
      <c r="I369" s="521"/>
    </row>
    <row r="370" spans="1:9" ht="25.5" x14ac:dyDescent="0.25">
      <c r="A370" s="209"/>
      <c r="B370" s="210" t="s">
        <v>796</v>
      </c>
      <c r="C370" s="56"/>
      <c r="D370" s="521"/>
      <c r="E370" s="521" t="s">
        <v>788</v>
      </c>
      <c r="F370" s="521">
        <v>8000</v>
      </c>
      <c r="G370" s="438" t="s">
        <v>789</v>
      </c>
      <c r="H370" s="543"/>
      <c r="I370" s="521"/>
    </row>
    <row r="371" spans="1:9" ht="25.5" x14ac:dyDescent="0.25">
      <c r="A371" s="209"/>
      <c r="B371" s="210" t="s">
        <v>845</v>
      </c>
      <c r="C371" s="56"/>
      <c r="D371" s="521"/>
      <c r="E371" s="521" t="s">
        <v>838</v>
      </c>
      <c r="F371" s="521">
        <v>8000</v>
      </c>
      <c r="G371" s="438" t="s">
        <v>843</v>
      </c>
      <c r="H371" s="543"/>
      <c r="I371" s="521"/>
    </row>
    <row r="372" spans="1:9" ht="25.5" x14ac:dyDescent="0.25">
      <c r="A372" s="209"/>
      <c r="B372" s="210" t="s">
        <v>907</v>
      </c>
      <c r="C372" s="56"/>
      <c r="D372" s="521"/>
      <c r="E372" s="521" t="s">
        <v>898</v>
      </c>
      <c r="F372" s="521">
        <v>8000</v>
      </c>
      <c r="G372" s="438" t="s">
        <v>905</v>
      </c>
      <c r="H372" s="543"/>
      <c r="I372" s="521"/>
    </row>
    <row r="373" spans="1:9" x14ac:dyDescent="0.25">
      <c r="A373" s="500"/>
      <c r="B373" s="501" t="s">
        <v>531</v>
      </c>
      <c r="C373" s="441"/>
      <c r="D373" s="523">
        <v>24000</v>
      </c>
      <c r="E373" s="523"/>
      <c r="F373" s="523">
        <f>SUM(F370:F372)</f>
        <v>24000</v>
      </c>
      <c r="G373" s="443"/>
      <c r="H373" s="524">
        <f>D373-F373</f>
        <v>0</v>
      </c>
      <c r="I373" s="523">
        <f>SUM(I370:I372)</f>
        <v>0</v>
      </c>
    </row>
    <row r="374" spans="1:9" x14ac:dyDescent="0.25">
      <c r="A374" s="401"/>
      <c r="B374" s="492" t="s">
        <v>283</v>
      </c>
      <c r="C374" s="390">
        <f>SUM(C339:C369)</f>
        <v>1393800</v>
      </c>
      <c r="D374" s="544">
        <f>SUM(D368,D363,D348,D343,D373)</f>
        <v>348450</v>
      </c>
      <c r="E374" s="544"/>
      <c r="F374" s="544">
        <f>SUM(F368,F363,F348,F343,F373)</f>
        <v>339332</v>
      </c>
      <c r="G374" s="544"/>
      <c r="H374" s="544">
        <f>D374-F374</f>
        <v>9118</v>
      </c>
      <c r="I374" s="544">
        <f>SUM(I368,I363,I348,I343,I373)</f>
        <v>0</v>
      </c>
    </row>
    <row r="375" spans="1:9" x14ac:dyDescent="0.25">
      <c r="A375" s="131">
        <v>7</v>
      </c>
      <c r="B375" s="502" t="s">
        <v>284</v>
      </c>
      <c r="C375" s="363"/>
      <c r="D375" s="525"/>
      <c r="E375" s="525"/>
      <c r="F375" s="525"/>
      <c r="G375" s="447"/>
      <c r="H375" s="525"/>
      <c r="I375" s="525"/>
    </row>
    <row r="376" spans="1:9" x14ac:dyDescent="0.25">
      <c r="A376" s="209">
        <v>7.1</v>
      </c>
      <c r="B376" s="199" t="s">
        <v>353</v>
      </c>
      <c r="C376" s="56">
        <v>90000</v>
      </c>
      <c r="D376" s="521"/>
      <c r="E376" s="521"/>
      <c r="F376" s="521"/>
      <c r="G376" s="438"/>
      <c r="H376" s="521"/>
      <c r="I376" s="521"/>
    </row>
    <row r="377" spans="1:9" x14ac:dyDescent="0.25">
      <c r="A377" s="209"/>
      <c r="B377" s="199"/>
      <c r="C377" s="56"/>
      <c r="D377" s="521"/>
      <c r="E377" s="521"/>
      <c r="F377" s="521"/>
      <c r="G377" s="438"/>
      <c r="H377" s="521"/>
      <c r="I377" s="521"/>
    </row>
    <row r="378" spans="1:9" ht="54.75" customHeight="1" x14ac:dyDescent="0.25">
      <c r="A378" s="209"/>
      <c r="B378" s="199"/>
      <c r="C378" s="56"/>
      <c r="D378" s="521"/>
      <c r="E378" s="521"/>
      <c r="F378" s="521"/>
      <c r="G378" s="438"/>
      <c r="H378" s="521"/>
      <c r="I378" s="521"/>
    </row>
    <row r="379" spans="1:9" x14ac:dyDescent="0.25">
      <c r="A379" s="209"/>
      <c r="B379" s="199"/>
      <c r="C379" s="56"/>
      <c r="D379" s="521"/>
      <c r="E379" s="521"/>
      <c r="F379" s="521"/>
      <c r="G379" s="438"/>
      <c r="H379" s="521"/>
      <c r="I379" s="521"/>
    </row>
    <row r="380" spans="1:9" x14ac:dyDescent="0.25">
      <c r="A380" s="500"/>
      <c r="B380" s="503" t="s">
        <v>534</v>
      </c>
      <c r="C380" s="441"/>
      <c r="D380" s="523">
        <v>15000</v>
      </c>
      <c r="E380" s="523"/>
      <c r="F380" s="523">
        <f>SUM(F378:F379)</f>
        <v>0</v>
      </c>
      <c r="G380" s="443"/>
      <c r="H380" s="524">
        <f>D380-F380</f>
        <v>15000</v>
      </c>
      <c r="I380" s="523">
        <f>SUM(I378:I379)</f>
        <v>0</v>
      </c>
    </row>
    <row r="381" spans="1:9" ht="45" customHeight="1" x14ac:dyDescent="0.25">
      <c r="A381" s="209">
        <v>7.2</v>
      </c>
      <c r="B381" s="84" t="s">
        <v>286</v>
      </c>
      <c r="C381" s="56">
        <v>30000</v>
      </c>
      <c r="D381" s="521"/>
      <c r="E381" s="521"/>
      <c r="F381" s="521"/>
      <c r="G381" s="438"/>
      <c r="H381" s="521"/>
      <c r="I381" s="521"/>
    </row>
    <row r="382" spans="1:9" ht="45" customHeight="1" x14ac:dyDescent="0.25">
      <c r="A382" s="209"/>
      <c r="B382" s="84" t="s">
        <v>805</v>
      </c>
      <c r="C382" s="56"/>
      <c r="D382" s="521"/>
      <c r="E382" s="521" t="s">
        <v>797</v>
      </c>
      <c r="F382" s="521">
        <v>2514</v>
      </c>
      <c r="G382" s="438" t="s">
        <v>806</v>
      </c>
      <c r="H382" s="521"/>
      <c r="I382" s="521"/>
    </row>
    <row r="383" spans="1:9" ht="42" customHeight="1" x14ac:dyDescent="0.25">
      <c r="A383" s="209"/>
      <c r="B383" s="84" t="s">
        <v>855</v>
      </c>
      <c r="C383" s="56"/>
      <c r="D383" s="521"/>
      <c r="E383" s="521" t="s">
        <v>838</v>
      </c>
      <c r="F383" s="521">
        <v>2820</v>
      </c>
      <c r="G383" s="438" t="s">
        <v>857</v>
      </c>
      <c r="H383" s="521"/>
      <c r="I383" s="521"/>
    </row>
    <row r="384" spans="1:9" ht="38.25" x14ac:dyDescent="0.25">
      <c r="A384" s="209"/>
      <c r="B384" s="84" t="s">
        <v>908</v>
      </c>
      <c r="C384" s="56"/>
      <c r="D384" s="521"/>
      <c r="E384" s="521" t="s">
        <v>898</v>
      </c>
      <c r="F384" s="521">
        <v>2598</v>
      </c>
      <c r="G384" s="438" t="s">
        <v>909</v>
      </c>
      <c r="H384" s="521"/>
      <c r="I384" s="521"/>
    </row>
    <row r="385" spans="1:9" x14ac:dyDescent="0.25">
      <c r="A385" s="500"/>
      <c r="B385" s="453" t="s">
        <v>542</v>
      </c>
      <c r="C385" s="441"/>
      <c r="D385" s="523">
        <v>7500</v>
      </c>
      <c r="E385" s="523"/>
      <c r="F385" s="523">
        <f>SUM(F382:F384)</f>
        <v>7932</v>
      </c>
      <c r="G385" s="443"/>
      <c r="H385" s="524">
        <f>D385-F385</f>
        <v>-432</v>
      </c>
      <c r="I385" s="523">
        <f>SUM(I382:I384)</f>
        <v>0</v>
      </c>
    </row>
    <row r="386" spans="1:9" ht="38.25" x14ac:dyDescent="0.25">
      <c r="A386" s="209">
        <v>7.3</v>
      </c>
      <c r="B386" s="84" t="s">
        <v>288</v>
      </c>
      <c r="C386" s="56">
        <v>30000</v>
      </c>
      <c r="D386" s="521"/>
      <c r="E386" s="521"/>
      <c r="F386" s="521"/>
      <c r="G386" s="438"/>
      <c r="H386" s="521"/>
      <c r="I386" s="521"/>
    </row>
    <row r="387" spans="1:9" ht="38.25" x14ac:dyDescent="0.25">
      <c r="A387" s="209"/>
      <c r="B387" s="84" t="s">
        <v>807</v>
      </c>
      <c r="C387" s="56"/>
      <c r="D387" s="521"/>
      <c r="E387" s="521" t="s">
        <v>797</v>
      </c>
      <c r="F387" s="521">
        <v>2510</v>
      </c>
      <c r="G387" s="438" t="s">
        <v>806</v>
      </c>
      <c r="H387" s="521"/>
      <c r="I387" s="521"/>
    </row>
    <row r="388" spans="1:9" ht="38.25" x14ac:dyDescent="0.25">
      <c r="A388" s="209"/>
      <c r="B388" s="84" t="s">
        <v>856</v>
      </c>
      <c r="C388" s="56"/>
      <c r="D388" s="521"/>
      <c r="E388" s="521" t="s">
        <v>838</v>
      </c>
      <c r="F388" s="521">
        <v>2585</v>
      </c>
      <c r="G388" s="438" t="s">
        <v>857</v>
      </c>
      <c r="H388" s="521"/>
      <c r="I388" s="521"/>
    </row>
    <row r="389" spans="1:9" ht="38.25" x14ac:dyDescent="0.25">
      <c r="A389" s="209"/>
      <c r="B389" s="84" t="s">
        <v>910</v>
      </c>
      <c r="C389" s="56"/>
      <c r="D389" s="521"/>
      <c r="E389" s="521" t="s">
        <v>898</v>
      </c>
      <c r="F389" s="521">
        <v>2525</v>
      </c>
      <c r="G389" s="438" t="s">
        <v>909</v>
      </c>
      <c r="H389" s="521"/>
      <c r="I389" s="521"/>
    </row>
    <row r="390" spans="1:9" x14ac:dyDescent="0.25">
      <c r="A390" s="500"/>
      <c r="B390" s="453" t="s">
        <v>546</v>
      </c>
      <c r="C390" s="441"/>
      <c r="D390" s="523">
        <v>7500</v>
      </c>
      <c r="E390" s="523"/>
      <c r="F390" s="523">
        <f>SUM(F387:F389)</f>
        <v>7620</v>
      </c>
      <c r="G390" s="443"/>
      <c r="H390" s="524">
        <f>D390-F390</f>
        <v>-120</v>
      </c>
      <c r="I390" s="523">
        <f>SUM(I387:I389)</f>
        <v>0</v>
      </c>
    </row>
    <row r="391" spans="1:9" ht="27.75" customHeight="1" x14ac:dyDescent="0.25">
      <c r="A391" s="209">
        <v>7.4</v>
      </c>
      <c r="B391" s="51" t="s">
        <v>289</v>
      </c>
      <c r="C391" s="56">
        <v>76800</v>
      </c>
      <c r="D391" s="521"/>
      <c r="E391" s="521"/>
      <c r="F391" s="521"/>
      <c r="G391" s="438"/>
      <c r="H391" s="521"/>
      <c r="I391" s="521"/>
    </row>
    <row r="392" spans="1:9" ht="38.25" x14ac:dyDescent="0.25">
      <c r="A392" s="209"/>
      <c r="B392" s="84" t="s">
        <v>808</v>
      </c>
      <c r="C392" s="56"/>
      <c r="D392" s="521"/>
      <c r="E392" s="521" t="s">
        <v>797</v>
      </c>
      <c r="F392" s="521">
        <v>1614</v>
      </c>
      <c r="G392" s="438" t="s">
        <v>806</v>
      </c>
      <c r="H392" s="521"/>
      <c r="I392" s="521"/>
    </row>
    <row r="393" spans="1:9" ht="38.25" x14ac:dyDescent="0.25">
      <c r="A393" s="209"/>
      <c r="B393" s="84" t="s">
        <v>809</v>
      </c>
      <c r="C393" s="56"/>
      <c r="D393" s="521"/>
      <c r="E393" s="521" t="s">
        <v>797</v>
      </c>
      <c r="F393" s="521">
        <v>1878</v>
      </c>
      <c r="G393" s="438" t="s">
        <v>806</v>
      </c>
      <c r="H393" s="521"/>
      <c r="I393" s="521"/>
    </row>
    <row r="394" spans="1:9" ht="38.25" x14ac:dyDescent="0.25">
      <c r="A394" s="209"/>
      <c r="B394" s="84" t="s">
        <v>810</v>
      </c>
      <c r="C394" s="56"/>
      <c r="D394" s="521"/>
      <c r="E394" s="521" t="s">
        <v>797</v>
      </c>
      <c r="F394" s="521">
        <v>1698</v>
      </c>
      <c r="G394" s="438" t="s">
        <v>806</v>
      </c>
      <c r="H394" s="521"/>
      <c r="I394" s="521"/>
    </row>
    <row r="395" spans="1:9" ht="38.25" x14ac:dyDescent="0.25">
      <c r="A395" s="209"/>
      <c r="B395" s="84" t="s">
        <v>858</v>
      </c>
      <c r="C395" s="56"/>
      <c r="D395" s="521"/>
      <c r="E395" s="521" t="s">
        <v>838</v>
      </c>
      <c r="F395" s="521">
        <v>1626</v>
      </c>
      <c r="G395" s="438" t="s">
        <v>857</v>
      </c>
      <c r="H395" s="521"/>
      <c r="I395" s="521"/>
    </row>
    <row r="396" spans="1:9" ht="38.25" x14ac:dyDescent="0.25">
      <c r="A396" s="209"/>
      <c r="B396" s="84" t="s">
        <v>859</v>
      </c>
      <c r="C396" s="56"/>
      <c r="D396" s="521"/>
      <c r="E396" s="521" t="s">
        <v>838</v>
      </c>
      <c r="F396" s="521">
        <v>1713</v>
      </c>
      <c r="G396" s="438" t="s">
        <v>857</v>
      </c>
      <c r="H396" s="521"/>
      <c r="I396" s="521"/>
    </row>
    <row r="397" spans="1:9" ht="38.25" x14ac:dyDescent="0.25">
      <c r="A397" s="209"/>
      <c r="B397" s="84" t="s">
        <v>860</v>
      </c>
      <c r="C397" s="56"/>
      <c r="D397" s="521"/>
      <c r="E397" s="521" t="s">
        <v>838</v>
      </c>
      <c r="F397" s="521">
        <v>1614</v>
      </c>
      <c r="G397" s="438" t="s">
        <v>857</v>
      </c>
      <c r="H397" s="521"/>
      <c r="I397" s="521"/>
    </row>
    <row r="398" spans="1:9" ht="38.25" x14ac:dyDescent="0.25">
      <c r="A398" s="209"/>
      <c r="B398" s="84" t="s">
        <v>861</v>
      </c>
      <c r="C398" s="56"/>
      <c r="D398" s="521"/>
      <c r="E398" s="521" t="s">
        <v>838</v>
      </c>
      <c r="F398" s="521">
        <v>2928</v>
      </c>
      <c r="G398" s="438" t="s">
        <v>857</v>
      </c>
      <c r="H398" s="521"/>
      <c r="I398" s="521"/>
    </row>
    <row r="399" spans="1:9" ht="38.25" x14ac:dyDescent="0.25">
      <c r="A399" s="209"/>
      <c r="B399" s="84" t="s">
        <v>911</v>
      </c>
      <c r="C399" s="56"/>
      <c r="D399" s="521"/>
      <c r="E399" s="521" t="s">
        <v>914</v>
      </c>
      <c r="F399" s="521">
        <v>1596</v>
      </c>
      <c r="G399" s="438" t="s">
        <v>909</v>
      </c>
      <c r="H399" s="521"/>
      <c r="I399" s="521"/>
    </row>
    <row r="400" spans="1:9" ht="38.25" x14ac:dyDescent="0.25">
      <c r="A400" s="209"/>
      <c r="B400" s="84" t="s">
        <v>913</v>
      </c>
      <c r="C400" s="56"/>
      <c r="D400" s="521"/>
      <c r="E400" s="521" t="s">
        <v>914</v>
      </c>
      <c r="F400" s="521">
        <v>1590</v>
      </c>
      <c r="G400" s="438" t="s">
        <v>909</v>
      </c>
      <c r="H400" s="521"/>
      <c r="I400" s="521"/>
    </row>
    <row r="401" spans="1:9" ht="38.25" x14ac:dyDescent="0.25">
      <c r="A401" s="209"/>
      <c r="B401" s="84" t="s">
        <v>912</v>
      </c>
      <c r="C401" s="56"/>
      <c r="D401" s="521"/>
      <c r="E401" s="521" t="s">
        <v>914</v>
      </c>
      <c r="F401" s="521">
        <v>1632</v>
      </c>
      <c r="G401" s="438" t="s">
        <v>909</v>
      </c>
      <c r="H401" s="521"/>
      <c r="I401" s="521"/>
    </row>
    <row r="402" spans="1:9" ht="38.25" x14ac:dyDescent="0.25">
      <c r="A402" s="209"/>
      <c r="B402" s="84" t="s">
        <v>923</v>
      </c>
      <c r="C402" s="56"/>
      <c r="D402" s="521"/>
      <c r="E402" s="521" t="s">
        <v>914</v>
      </c>
      <c r="F402" s="521">
        <v>1890</v>
      </c>
      <c r="G402" s="438" t="s">
        <v>922</v>
      </c>
      <c r="H402" s="521"/>
      <c r="I402" s="521"/>
    </row>
    <row r="403" spans="1:9" x14ac:dyDescent="0.25">
      <c r="A403" s="209"/>
      <c r="B403" s="84"/>
      <c r="C403" s="56"/>
      <c r="D403" s="521"/>
      <c r="E403" s="521"/>
      <c r="F403" s="521"/>
      <c r="G403" s="438"/>
      <c r="H403" s="521"/>
      <c r="I403" s="521"/>
    </row>
    <row r="404" spans="1:9" x14ac:dyDescent="0.25">
      <c r="A404" s="500"/>
      <c r="B404" s="440" t="s">
        <v>559</v>
      </c>
      <c r="C404" s="441"/>
      <c r="D404" s="523">
        <v>19200</v>
      </c>
      <c r="E404" s="523"/>
      <c r="F404" s="523">
        <f>SUM(F392:F403)</f>
        <v>19779</v>
      </c>
      <c r="G404" s="443"/>
      <c r="H404" s="524">
        <f>D404-F404</f>
        <v>-579</v>
      </c>
      <c r="I404" s="523">
        <f>SUM(I392:I403)</f>
        <v>0</v>
      </c>
    </row>
    <row r="405" spans="1:9" x14ac:dyDescent="0.25">
      <c r="A405" s="401"/>
      <c r="B405" s="504" t="s">
        <v>291</v>
      </c>
      <c r="C405" s="390">
        <f>SUM(C376:C391)</f>
        <v>226800</v>
      </c>
      <c r="D405" s="544">
        <f>SUM(D404,D390,D385,D380)</f>
        <v>49200</v>
      </c>
      <c r="E405" s="544"/>
      <c r="F405" s="544">
        <f>SUM(F404,F390,F385,F380)</f>
        <v>35331</v>
      </c>
      <c r="G405" s="494"/>
      <c r="H405" s="544">
        <f>SUM(H404,H390,H385,H380)</f>
        <v>13869</v>
      </c>
      <c r="I405" s="544">
        <f>SUM(I404,I390,I385,I380)</f>
        <v>0</v>
      </c>
    </row>
    <row r="406" spans="1:9" x14ac:dyDescent="0.25">
      <c r="A406" s="397">
        <v>8</v>
      </c>
      <c r="B406" s="499" t="s">
        <v>292</v>
      </c>
      <c r="C406" s="399"/>
      <c r="D406" s="525"/>
      <c r="E406" s="525"/>
      <c r="F406" s="525"/>
      <c r="G406" s="447"/>
      <c r="H406" s="525"/>
      <c r="I406" s="525"/>
    </row>
    <row r="407" spans="1:9" ht="25.5" x14ac:dyDescent="0.25">
      <c r="A407" s="209">
        <v>8.1</v>
      </c>
      <c r="B407" s="51" t="s">
        <v>293</v>
      </c>
      <c r="C407" s="56">
        <v>102000</v>
      </c>
      <c r="D407" s="521"/>
      <c r="E407" s="521"/>
      <c r="F407" s="521"/>
      <c r="G407" s="438"/>
      <c r="H407" s="521"/>
      <c r="I407" s="521"/>
    </row>
    <row r="408" spans="1:9" ht="39" customHeight="1" x14ac:dyDescent="0.25">
      <c r="A408" s="209"/>
      <c r="B408" s="51" t="s">
        <v>799</v>
      </c>
      <c r="C408" s="56"/>
      <c r="D408" s="521"/>
      <c r="E408" s="521" t="s">
        <v>797</v>
      </c>
      <c r="F408" s="521">
        <v>8500</v>
      </c>
      <c r="G408" s="438" t="s">
        <v>800</v>
      </c>
      <c r="H408" s="521"/>
      <c r="I408" s="521">
        <v>1500</v>
      </c>
    </row>
    <row r="409" spans="1:9" ht="25.5" x14ac:dyDescent="0.25">
      <c r="A409" s="209"/>
      <c r="B409" s="51" t="s">
        <v>846</v>
      </c>
      <c r="C409" s="56"/>
      <c r="D409" s="521"/>
      <c r="E409" s="521" t="s">
        <v>838</v>
      </c>
      <c r="F409" s="521">
        <v>8500</v>
      </c>
      <c r="G409" s="438" t="s">
        <v>847</v>
      </c>
      <c r="H409" s="521"/>
      <c r="I409" s="521">
        <v>1500</v>
      </c>
    </row>
    <row r="410" spans="1:9" ht="38.25" x14ac:dyDescent="0.25">
      <c r="A410" s="209"/>
      <c r="B410" s="51" t="s">
        <v>919</v>
      </c>
      <c r="C410" s="56"/>
      <c r="D410" s="521"/>
      <c r="E410" s="521" t="s">
        <v>898</v>
      </c>
      <c r="F410" s="521">
        <v>8500</v>
      </c>
      <c r="G410" s="438" t="s">
        <v>920</v>
      </c>
      <c r="H410" s="521"/>
      <c r="I410" s="521">
        <v>1500</v>
      </c>
    </row>
    <row r="411" spans="1:9" x14ac:dyDescent="0.25">
      <c r="A411" s="500"/>
      <c r="B411" s="440" t="s">
        <v>566</v>
      </c>
      <c r="C411" s="441"/>
      <c r="D411" s="523">
        <v>25500</v>
      </c>
      <c r="E411" s="523"/>
      <c r="F411" s="523">
        <f>SUM(F408:F410)</f>
        <v>25500</v>
      </c>
      <c r="G411" s="443"/>
      <c r="H411" s="524">
        <f>D411-F411</f>
        <v>0</v>
      </c>
      <c r="I411" s="523">
        <f>SUM(I408:I410)</f>
        <v>4500</v>
      </c>
    </row>
    <row r="412" spans="1:9" ht="25.5" x14ac:dyDescent="0.25">
      <c r="A412" s="209">
        <v>8.1999999999999993</v>
      </c>
      <c r="B412" s="51" t="s">
        <v>296</v>
      </c>
      <c r="C412" s="56">
        <v>24000</v>
      </c>
      <c r="D412" s="521"/>
      <c r="E412" s="521"/>
      <c r="F412" s="521"/>
      <c r="G412" s="438"/>
      <c r="H412" s="521"/>
      <c r="I412" s="521"/>
    </row>
    <row r="413" spans="1:9" ht="38.25" x14ac:dyDescent="0.25">
      <c r="A413" s="209"/>
      <c r="B413" s="51" t="s">
        <v>778</v>
      </c>
      <c r="C413" s="56"/>
      <c r="D413" s="521"/>
      <c r="E413" s="505" t="s">
        <v>759</v>
      </c>
      <c r="F413" s="547">
        <v>1980</v>
      </c>
      <c r="G413" s="548" t="s">
        <v>779</v>
      </c>
      <c r="H413" s="521"/>
      <c r="I413" s="521"/>
    </row>
    <row r="414" spans="1:9" ht="25.5" x14ac:dyDescent="0.25">
      <c r="A414" s="209"/>
      <c r="B414" s="51" t="s">
        <v>782</v>
      </c>
      <c r="C414" s="56"/>
      <c r="D414" s="521"/>
      <c r="E414" s="505" t="s">
        <v>785</v>
      </c>
      <c r="F414" s="547">
        <v>1180</v>
      </c>
      <c r="G414" s="548" t="s">
        <v>784</v>
      </c>
      <c r="H414" s="521"/>
      <c r="I414" s="521"/>
    </row>
    <row r="415" spans="1:9" ht="25.5" x14ac:dyDescent="0.25">
      <c r="A415" s="209"/>
      <c r="B415" s="51" t="s">
        <v>783</v>
      </c>
      <c r="C415" s="56"/>
      <c r="D415" s="521"/>
      <c r="E415" s="505" t="s">
        <v>785</v>
      </c>
      <c r="F415" s="547">
        <v>564.12</v>
      </c>
      <c r="G415" s="548" t="s">
        <v>786</v>
      </c>
      <c r="H415" s="521"/>
      <c r="I415" s="521"/>
    </row>
    <row r="416" spans="1:9" x14ac:dyDescent="0.25">
      <c r="A416" s="500"/>
      <c r="B416" s="440" t="s">
        <v>586</v>
      </c>
      <c r="C416" s="441"/>
      <c r="D416" s="523">
        <v>6000</v>
      </c>
      <c r="E416" s="523"/>
      <c r="F416" s="568">
        <f>SUM(F413:F415)</f>
        <v>3724.12</v>
      </c>
      <c r="G416" s="443"/>
      <c r="H416" s="524">
        <f>D416-F416</f>
        <v>2275.88</v>
      </c>
      <c r="I416" s="568">
        <f>SUM(I413:I415)</f>
        <v>0</v>
      </c>
    </row>
    <row r="417" spans="1:9" x14ac:dyDescent="0.25">
      <c r="A417" s="209">
        <v>8.3000000000000007</v>
      </c>
      <c r="B417" s="51" t="s">
        <v>298</v>
      </c>
      <c r="C417" s="56">
        <v>1500</v>
      </c>
      <c r="D417" s="521"/>
      <c r="E417" s="521"/>
      <c r="F417" s="521"/>
      <c r="G417" s="438"/>
      <c r="H417" s="521"/>
      <c r="I417" s="521"/>
    </row>
    <row r="418" spans="1:9" ht="44.25" customHeight="1" x14ac:dyDescent="0.25">
      <c r="A418" s="209"/>
      <c r="B418" s="51"/>
      <c r="C418" s="56"/>
      <c r="D418" s="521"/>
      <c r="E418" s="521"/>
      <c r="F418" s="521"/>
      <c r="G418" s="438"/>
      <c r="H418" s="521"/>
      <c r="I418" s="521"/>
    </row>
    <row r="419" spans="1:9" x14ac:dyDescent="0.25">
      <c r="A419" s="500"/>
      <c r="B419" s="440" t="s">
        <v>589</v>
      </c>
      <c r="C419" s="441"/>
      <c r="D419" s="523"/>
      <c r="E419" s="523"/>
      <c r="F419" s="523">
        <f>F418</f>
        <v>0</v>
      </c>
      <c r="G419" s="443"/>
      <c r="H419" s="524">
        <f>D419-F419</f>
        <v>0</v>
      </c>
      <c r="I419" s="523">
        <f>I418</f>
        <v>0</v>
      </c>
    </row>
    <row r="420" spans="1:9" x14ac:dyDescent="0.25">
      <c r="A420" s="209">
        <v>8.4</v>
      </c>
      <c r="B420" s="51" t="s">
        <v>300</v>
      </c>
      <c r="C420" s="56">
        <v>12000</v>
      </c>
      <c r="D420" s="521"/>
      <c r="E420" s="521"/>
      <c r="F420" s="521"/>
      <c r="G420" s="438"/>
      <c r="H420" s="521"/>
      <c r="I420" s="521"/>
    </row>
    <row r="421" spans="1:9" x14ac:dyDescent="0.25">
      <c r="A421" s="209"/>
      <c r="B421" s="51"/>
      <c r="C421" s="56"/>
      <c r="D421" s="521"/>
      <c r="E421" s="521"/>
      <c r="F421" s="521"/>
      <c r="G421" s="438"/>
      <c r="H421" s="521"/>
      <c r="I421" s="521"/>
    </row>
    <row r="422" spans="1:9" x14ac:dyDescent="0.25">
      <c r="A422" s="500"/>
      <c r="B422" s="440" t="s">
        <v>590</v>
      </c>
      <c r="C422" s="441"/>
      <c r="D422" s="523">
        <v>0</v>
      </c>
      <c r="E422" s="523"/>
      <c r="F422" s="523">
        <f>F421</f>
        <v>0</v>
      </c>
      <c r="G422" s="443"/>
      <c r="H422" s="524">
        <f>D422-F422</f>
        <v>0</v>
      </c>
      <c r="I422" s="523">
        <f>I421</f>
        <v>0</v>
      </c>
    </row>
    <row r="423" spans="1:9" x14ac:dyDescent="0.25">
      <c r="A423" s="209">
        <v>8.5</v>
      </c>
      <c r="B423" s="51" t="s">
        <v>302</v>
      </c>
      <c r="C423" s="56">
        <v>8000</v>
      </c>
      <c r="D423" s="521"/>
      <c r="E423" s="521"/>
      <c r="F423" s="521"/>
      <c r="G423" s="438"/>
      <c r="H423" s="521"/>
      <c r="I423" s="521"/>
    </row>
    <row r="424" spans="1:9" ht="38.25" x14ac:dyDescent="0.25">
      <c r="A424" s="209"/>
      <c r="B424" s="51" t="s">
        <v>767</v>
      </c>
      <c r="C424" s="56"/>
      <c r="D424" s="521"/>
      <c r="E424" s="521" t="s">
        <v>759</v>
      </c>
      <c r="F424" s="521">
        <v>1200</v>
      </c>
      <c r="G424" s="438" t="s">
        <v>768</v>
      </c>
      <c r="H424" s="521"/>
      <c r="I424" s="521"/>
    </row>
    <row r="425" spans="1:9" x14ac:dyDescent="0.25">
      <c r="A425" s="209"/>
      <c r="B425" s="51"/>
      <c r="C425" s="56"/>
      <c r="D425" s="521"/>
      <c r="E425" s="521"/>
      <c r="F425" s="521"/>
      <c r="G425" s="438"/>
      <c r="H425" s="521"/>
      <c r="I425" s="521"/>
    </row>
    <row r="426" spans="1:9" x14ac:dyDescent="0.25">
      <c r="A426" s="500"/>
      <c r="B426" s="440" t="s">
        <v>591</v>
      </c>
      <c r="C426" s="441"/>
      <c r="D426" s="523">
        <v>4000</v>
      </c>
      <c r="E426" s="523"/>
      <c r="F426" s="523">
        <f>SUM(F424:F425)</f>
        <v>1200</v>
      </c>
      <c r="G426" s="443"/>
      <c r="H426" s="524">
        <f>D426-F426</f>
        <v>2800</v>
      </c>
      <c r="I426" s="523">
        <f>SUM(I424:I425)</f>
        <v>0</v>
      </c>
    </row>
    <row r="427" spans="1:9" x14ac:dyDescent="0.25">
      <c r="A427" s="507"/>
      <c r="B427" s="492" t="s">
        <v>307</v>
      </c>
      <c r="C427" s="390">
        <f>SUM(C407:C426)</f>
        <v>147500</v>
      </c>
      <c r="D427" s="544">
        <f>SUM(,D426,D422,D419,D416,D411)</f>
        <v>35500</v>
      </c>
      <c r="E427" s="544"/>
      <c r="F427" s="544">
        <f>SUM(,F426,F422,F419,F416,F411)</f>
        <v>30424.12</v>
      </c>
      <c r="G427" s="544"/>
      <c r="H427" s="544">
        <f>SUM(,H426,H422,H419,H416,H411)</f>
        <v>5075.88</v>
      </c>
      <c r="I427" s="544">
        <f>SUM(,I426,I422,I419,I416,I411)</f>
        <v>4500</v>
      </c>
    </row>
    <row r="428" spans="1:9" s="579" customFormat="1" x14ac:dyDescent="0.25">
      <c r="A428" s="573"/>
      <c r="B428" s="574" t="s">
        <v>308</v>
      </c>
      <c r="C428" s="575">
        <f>SUM(C427,C405,C374,C337,C334)</f>
        <v>2675000</v>
      </c>
      <c r="D428" s="576">
        <f>SUM(D427,D405,D374,D337,D334)</f>
        <v>556590</v>
      </c>
      <c r="E428" s="577"/>
      <c r="F428" s="576">
        <f>SUM(F427,F405,F374,F337,F334)</f>
        <v>579057.12</v>
      </c>
      <c r="G428" s="578"/>
      <c r="H428" s="576">
        <f>D428-F428</f>
        <v>-22467.119999999995</v>
      </c>
      <c r="I428" s="576">
        <f>SUM(I427,I405,I374,I337,I334)</f>
        <v>224600</v>
      </c>
    </row>
    <row r="431" spans="1:9" x14ac:dyDescent="0.25">
      <c r="F431" s="334"/>
    </row>
    <row r="432" spans="1:9" x14ac:dyDescent="0.25">
      <c r="F432" s="553"/>
    </row>
  </sheetData>
  <mergeCells count="17">
    <mergeCell ref="E4:F4"/>
    <mergeCell ref="G4:I5"/>
    <mergeCell ref="B1:D1"/>
    <mergeCell ref="A2:I2"/>
    <mergeCell ref="A3:I3"/>
    <mergeCell ref="A4:C5"/>
    <mergeCell ref="D4:D5"/>
    <mergeCell ref="A11:B11"/>
    <mergeCell ref="E11:I12"/>
    <mergeCell ref="A12:B12"/>
    <mergeCell ref="A6:B6"/>
    <mergeCell ref="E6:G6"/>
    <mergeCell ref="H6:I6"/>
    <mergeCell ref="A7:B7"/>
    <mergeCell ref="A10:B10"/>
    <mergeCell ref="A8:B8"/>
    <mergeCell ref="A9:B9"/>
  </mergeCells>
  <pageMargins left="3.9583333333333297E-2" right="3.9583333333333297E-2" top="0.35416666666666702" bottom="0.35416666666666702" header="0.511811023622047" footer="0.511811023622047"/>
  <pageSetup paperSize="9" scale="7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95"/>
  <sheetViews>
    <sheetView zoomScale="85" zoomScaleNormal="85" workbookViewId="0">
      <pane xSplit="2" ySplit="12" topLeftCell="C223" activePane="bottomRight" state="frozen"/>
      <selection pane="topRight" activeCell="C1" sqref="C1"/>
      <selection pane="bottomLeft" activeCell="A379" sqref="A379"/>
      <selection pane="bottomRight" activeCell="H392" sqref="H392"/>
    </sheetView>
  </sheetViews>
  <sheetFormatPr defaultColWidth="8.7109375" defaultRowHeight="15" x14ac:dyDescent="0.25"/>
  <cols>
    <col min="1" max="1" width="5.85546875" customWidth="1"/>
    <col min="2" max="2" width="53.5703125" customWidth="1"/>
    <col min="3" max="3" width="11.7109375" customWidth="1"/>
    <col min="4" max="4" width="13.140625" customWidth="1"/>
    <col min="5" max="5" width="11.28515625" customWidth="1"/>
    <col min="6" max="6" width="12.5703125" customWidth="1"/>
    <col min="7" max="7" width="11.5703125" style="410" customWidth="1"/>
    <col min="8" max="8" width="13.7109375" customWidth="1"/>
    <col min="9" max="9" width="10.5703125" customWidth="1"/>
    <col min="10" max="10" width="37.5703125" customWidth="1"/>
  </cols>
  <sheetData>
    <row r="1" spans="1:9" x14ac:dyDescent="0.25">
      <c r="B1" s="581" t="s">
        <v>0</v>
      </c>
      <c r="C1" s="581"/>
      <c r="D1" s="581"/>
    </row>
    <row r="2" spans="1:9" x14ac:dyDescent="0.25">
      <c r="A2" s="628" t="s">
        <v>354</v>
      </c>
      <c r="B2" s="628"/>
      <c r="C2" s="628"/>
      <c r="D2" s="628"/>
      <c r="E2" s="628"/>
      <c r="F2" s="628"/>
      <c r="G2" s="628"/>
      <c r="H2" s="628"/>
      <c r="I2" s="628"/>
    </row>
    <row r="3" spans="1:9" ht="28.5" customHeight="1" x14ac:dyDescent="0.25">
      <c r="A3" s="629" t="s">
        <v>355</v>
      </c>
      <c r="B3" s="629"/>
      <c r="C3" s="629"/>
      <c r="D3" s="629"/>
      <c r="E3" s="629"/>
      <c r="F3" s="629"/>
      <c r="G3" s="629"/>
      <c r="H3" s="629"/>
      <c r="I3" s="629"/>
    </row>
    <row r="4" spans="1:9" ht="15.75" customHeight="1" x14ac:dyDescent="0.25">
      <c r="A4" s="630"/>
      <c r="B4" s="630"/>
      <c r="C4" s="630"/>
      <c r="D4" s="631" t="s">
        <v>356</v>
      </c>
      <c r="E4" s="632" t="s">
        <v>610</v>
      </c>
      <c r="F4" s="632"/>
      <c r="G4" s="625"/>
      <c r="H4" s="625"/>
      <c r="I4" s="625"/>
    </row>
    <row r="5" spans="1:9" x14ac:dyDescent="0.25">
      <c r="A5" s="630"/>
      <c r="B5" s="630"/>
      <c r="C5" s="630"/>
      <c r="D5" s="631"/>
      <c r="E5" s="512" t="s">
        <v>611</v>
      </c>
      <c r="F5" s="513"/>
      <c r="G5" s="625"/>
      <c r="H5" s="625"/>
      <c r="I5" s="625"/>
    </row>
    <row r="6" spans="1:9" x14ac:dyDescent="0.25">
      <c r="A6" s="620" t="s">
        <v>359</v>
      </c>
      <c r="B6" s="620"/>
      <c r="C6" s="413"/>
      <c r="D6" s="414">
        <v>0</v>
      </c>
      <c r="E6" s="621" t="s">
        <v>361</v>
      </c>
      <c r="F6" s="621"/>
      <c r="G6" s="621"/>
      <c r="H6" s="633" t="str">
        <f>+' Qtr-1 April-24 to June-24 '!H6:I6</f>
        <v>Rs. 26,75,000/-</v>
      </c>
      <c r="I6" s="633"/>
    </row>
    <row r="7" spans="1:9" x14ac:dyDescent="0.25">
      <c r="A7" s="623" t="s">
        <v>612</v>
      </c>
      <c r="B7" s="623"/>
      <c r="C7" s="415"/>
      <c r="D7" s="514">
        <v>0</v>
      </c>
      <c r="E7" s="417"/>
      <c r="F7" s="418"/>
      <c r="G7" s="418"/>
      <c r="H7" s="418"/>
      <c r="I7" s="419"/>
    </row>
    <row r="8" spans="1:9" x14ac:dyDescent="0.25">
      <c r="A8" s="623" t="s">
        <v>616</v>
      </c>
      <c r="B8" s="623"/>
      <c r="C8" s="415"/>
      <c r="D8" s="420">
        <v>0</v>
      </c>
      <c r="E8" s="515"/>
      <c r="F8" s="516"/>
      <c r="G8" s="421"/>
      <c r="H8" s="516"/>
      <c r="I8" s="421"/>
    </row>
    <row r="9" spans="1:9" x14ac:dyDescent="0.25">
      <c r="A9" s="626" t="s">
        <v>613</v>
      </c>
      <c r="B9" s="626"/>
      <c r="C9" s="422"/>
      <c r="D9" s="517">
        <f>D7+D8</f>
        <v>0</v>
      </c>
      <c r="E9" s="627"/>
      <c r="F9" s="627"/>
      <c r="G9" s="627"/>
      <c r="H9" s="627"/>
      <c r="I9" s="424"/>
    </row>
    <row r="10" spans="1:9" ht="14.25" customHeight="1" x14ac:dyDescent="0.25">
      <c r="A10" s="617" t="s">
        <v>595</v>
      </c>
      <c r="B10" s="617"/>
      <c r="C10" s="425"/>
      <c r="D10" s="518"/>
      <c r="E10" s="618" t="s">
        <v>366</v>
      </c>
      <c r="F10" s="618"/>
      <c r="G10" s="618"/>
      <c r="H10" s="618"/>
      <c r="I10" s="618"/>
    </row>
    <row r="11" spans="1:9" x14ac:dyDescent="0.25">
      <c r="A11" s="619" t="s">
        <v>367</v>
      </c>
      <c r="B11" s="619"/>
      <c r="C11" s="427"/>
      <c r="D11" s="519">
        <f>SUM(D8:D10)</f>
        <v>0</v>
      </c>
      <c r="E11" s="618"/>
      <c r="F11" s="618"/>
      <c r="G11" s="618"/>
      <c r="H11" s="618"/>
      <c r="I11" s="618"/>
    </row>
    <row r="12" spans="1:9" ht="45" x14ac:dyDescent="0.25">
      <c r="A12" s="429" t="s">
        <v>368</v>
      </c>
      <c r="B12" s="430" t="s">
        <v>369</v>
      </c>
      <c r="C12" s="430" t="s">
        <v>596</v>
      </c>
      <c r="D12" s="431" t="s">
        <v>619</v>
      </c>
      <c r="E12" s="432" t="s">
        <v>372</v>
      </c>
      <c r="F12" s="433" t="s">
        <v>373</v>
      </c>
      <c r="G12" s="434" t="s">
        <v>374</v>
      </c>
      <c r="H12" s="435" t="s">
        <v>375</v>
      </c>
      <c r="I12" s="436" t="s">
        <v>376</v>
      </c>
    </row>
    <row r="13" spans="1:9" x14ac:dyDescent="0.25">
      <c r="A13" s="42">
        <v>1</v>
      </c>
      <c r="B13" s="337" t="s">
        <v>56</v>
      </c>
      <c r="C13" s="338"/>
      <c r="D13" s="520"/>
      <c r="E13" s="520"/>
      <c r="F13" s="520"/>
      <c r="G13" s="437"/>
      <c r="H13" s="520"/>
      <c r="I13" s="520"/>
    </row>
    <row r="14" spans="1:9" x14ac:dyDescent="0.25">
      <c r="A14" s="50">
        <v>1.1000000000000001</v>
      </c>
      <c r="B14" s="51" t="s">
        <v>58</v>
      </c>
      <c r="C14" s="56">
        <v>0</v>
      </c>
      <c r="D14" s="521"/>
      <c r="E14" s="521"/>
      <c r="F14" s="521"/>
      <c r="G14" s="438"/>
      <c r="H14" s="521"/>
      <c r="I14" s="521"/>
    </row>
    <row r="15" spans="1:9" ht="57.75" customHeight="1" x14ac:dyDescent="0.25">
      <c r="A15" s="50"/>
      <c r="B15" s="51"/>
      <c r="C15" s="56"/>
      <c r="D15" s="521"/>
      <c r="E15" s="521"/>
      <c r="F15" s="521"/>
      <c r="G15" s="438"/>
      <c r="H15" s="521"/>
      <c r="I15" s="521"/>
    </row>
    <row r="16" spans="1:9" x14ac:dyDescent="0.25">
      <c r="A16" s="439"/>
      <c r="B16" s="440" t="s">
        <v>377</v>
      </c>
      <c r="C16" s="441"/>
      <c r="D16" s="522">
        <v>0</v>
      </c>
      <c r="E16" s="523"/>
      <c r="F16" s="523">
        <f>SUM(F15:F15)</f>
        <v>0</v>
      </c>
      <c r="G16" s="443"/>
      <c r="H16" s="524">
        <f>D16-F16</f>
        <v>0</v>
      </c>
      <c r="I16" s="523"/>
    </row>
    <row r="17" spans="1:9" x14ac:dyDescent="0.25">
      <c r="A17" s="445">
        <v>1.2</v>
      </c>
      <c r="B17" s="446" t="s">
        <v>59</v>
      </c>
      <c r="C17" s="66"/>
      <c r="D17" s="525"/>
      <c r="E17" s="525"/>
      <c r="F17" s="525"/>
      <c r="G17" s="447"/>
      <c r="H17" s="525"/>
      <c r="I17" s="525"/>
    </row>
    <row r="18" spans="1:9" ht="25.5" x14ac:dyDescent="0.25">
      <c r="A18" s="70" t="s">
        <v>60</v>
      </c>
      <c r="B18" s="51" t="s">
        <v>61</v>
      </c>
      <c r="C18" s="56">
        <v>79920</v>
      </c>
      <c r="D18" s="521"/>
      <c r="E18" s="521"/>
      <c r="F18" s="521"/>
      <c r="G18" s="438"/>
      <c r="H18" s="521"/>
      <c r="I18" s="521"/>
    </row>
    <row r="19" spans="1:9" ht="54" customHeight="1" x14ac:dyDescent="0.25">
      <c r="A19" s="70"/>
      <c r="B19" s="51"/>
      <c r="C19" s="56"/>
      <c r="D19" s="521"/>
      <c r="E19" s="521"/>
      <c r="F19" s="521"/>
      <c r="G19" s="438"/>
      <c r="H19" s="521"/>
      <c r="I19" s="521"/>
    </row>
    <row r="20" spans="1:9" x14ac:dyDescent="0.25">
      <c r="A20" s="70"/>
      <c r="B20" s="51"/>
      <c r="C20" s="56"/>
      <c r="D20" s="521"/>
      <c r="E20" s="521"/>
      <c r="F20" s="521"/>
      <c r="G20" s="438"/>
      <c r="H20" s="521"/>
      <c r="I20" s="521"/>
    </row>
    <row r="21" spans="1:9" ht="25.5" x14ac:dyDescent="0.25">
      <c r="A21" s="449"/>
      <c r="B21" s="440" t="s">
        <v>387</v>
      </c>
      <c r="C21" s="441"/>
      <c r="D21" s="450">
        <v>19980</v>
      </c>
      <c r="E21" s="523"/>
      <c r="F21" s="523">
        <f>SUM(F19:F20)</f>
        <v>0</v>
      </c>
      <c r="G21" s="443"/>
      <c r="H21" s="524">
        <f>D21-F21</f>
        <v>19980</v>
      </c>
      <c r="I21" s="523"/>
    </row>
    <row r="22" spans="1:9" x14ac:dyDescent="0.25">
      <c r="A22" s="72"/>
      <c r="B22" s="451" t="s">
        <v>63</v>
      </c>
      <c r="C22" s="75">
        <f>SUM(C14,C18)</f>
        <v>79920</v>
      </c>
      <c r="D22" s="526">
        <f>D21+D16</f>
        <v>19980</v>
      </c>
      <c r="E22" s="526"/>
      <c r="F22" s="526">
        <f>SUM(F21)</f>
        <v>0</v>
      </c>
      <c r="G22" s="526"/>
      <c r="H22" s="526">
        <f>D22-F22</f>
        <v>19980</v>
      </c>
      <c r="I22" s="75">
        <f>SUM(I14,I18)</f>
        <v>0</v>
      </c>
    </row>
    <row r="23" spans="1:9" ht="63.75" x14ac:dyDescent="0.25">
      <c r="A23" s="445">
        <v>1.3</v>
      </c>
      <c r="B23" s="452" t="s">
        <v>64</v>
      </c>
      <c r="C23" s="352"/>
      <c r="D23" s="525"/>
      <c r="E23" s="525"/>
      <c r="F23" s="525"/>
      <c r="G23" s="447"/>
      <c r="H23" s="525"/>
      <c r="I23" s="525"/>
    </row>
    <row r="24" spans="1:9" ht="28.5" customHeight="1" x14ac:dyDescent="0.25">
      <c r="A24" s="70" t="s">
        <v>65</v>
      </c>
      <c r="B24" s="51" t="s">
        <v>66</v>
      </c>
      <c r="C24" s="56">
        <v>2000</v>
      </c>
      <c r="D24" s="521"/>
      <c r="E24" s="521"/>
      <c r="F24" s="521"/>
      <c r="G24" s="438"/>
      <c r="H24" s="521"/>
      <c r="I24" s="521"/>
    </row>
    <row r="25" spans="1:9" x14ac:dyDescent="0.25">
      <c r="A25" s="70"/>
      <c r="B25" s="51"/>
      <c r="C25" s="56"/>
      <c r="D25" s="521"/>
      <c r="E25" s="521"/>
      <c r="F25" s="521"/>
      <c r="G25" s="438"/>
      <c r="H25" s="521"/>
      <c r="I25" s="521"/>
    </row>
    <row r="26" spans="1:9" x14ac:dyDescent="0.25">
      <c r="A26" s="70"/>
      <c r="B26" s="51"/>
      <c r="C26" s="56"/>
      <c r="D26" s="521"/>
      <c r="E26" s="521"/>
      <c r="F26" s="521"/>
      <c r="G26" s="438"/>
      <c r="H26" s="521"/>
      <c r="I26" s="521"/>
    </row>
    <row r="27" spans="1:9" x14ac:dyDescent="0.25">
      <c r="A27" s="70"/>
      <c r="B27" s="51"/>
      <c r="C27" s="56"/>
      <c r="D27" s="521"/>
      <c r="E27" s="521"/>
      <c r="F27" s="521"/>
      <c r="G27" s="438"/>
      <c r="H27" s="521"/>
      <c r="I27" s="521"/>
    </row>
    <row r="28" spans="1:9" x14ac:dyDescent="0.25">
      <c r="A28" s="449"/>
      <c r="B28" s="440" t="s">
        <v>393</v>
      </c>
      <c r="C28" s="441"/>
      <c r="D28" s="523">
        <v>2000</v>
      </c>
      <c r="E28" s="523"/>
      <c r="F28" s="523">
        <f>SUM(F25:F27)</f>
        <v>0</v>
      </c>
      <c r="G28" s="443"/>
      <c r="H28" s="524">
        <f>D28-F28</f>
        <v>2000</v>
      </c>
      <c r="I28" s="523"/>
    </row>
    <row r="29" spans="1:9" ht="16.5" customHeight="1" x14ac:dyDescent="0.25">
      <c r="A29" s="70" t="s">
        <v>68</v>
      </c>
      <c r="B29" s="84" t="s">
        <v>69</v>
      </c>
      <c r="C29" s="56">
        <v>12480</v>
      </c>
      <c r="D29" s="521"/>
      <c r="E29" s="521"/>
      <c r="F29" s="521"/>
      <c r="G29" s="438"/>
      <c r="H29" s="521"/>
      <c r="I29" s="521"/>
    </row>
    <row r="30" spans="1:9" x14ac:dyDescent="0.25">
      <c r="A30" s="70"/>
      <c r="B30" s="84"/>
      <c r="C30" s="56"/>
      <c r="D30" s="521"/>
      <c r="E30" s="521"/>
      <c r="F30" s="521"/>
      <c r="G30" s="438"/>
      <c r="H30" s="521"/>
      <c r="I30" s="521"/>
    </row>
    <row r="31" spans="1:9" x14ac:dyDescent="0.25">
      <c r="A31" s="70"/>
      <c r="B31" s="84"/>
      <c r="C31" s="56"/>
      <c r="D31" s="521"/>
      <c r="E31" s="521"/>
      <c r="F31" s="521"/>
      <c r="G31" s="438"/>
      <c r="H31" s="521"/>
      <c r="I31" s="521"/>
    </row>
    <row r="32" spans="1:9" x14ac:dyDescent="0.25">
      <c r="A32" s="70"/>
      <c r="B32" s="84"/>
      <c r="C32" s="56"/>
      <c r="D32" s="521"/>
      <c r="E32" s="521"/>
      <c r="F32" s="521"/>
      <c r="G32" s="438"/>
      <c r="H32" s="521"/>
      <c r="I32" s="521"/>
    </row>
    <row r="33" spans="1:9" x14ac:dyDescent="0.25">
      <c r="A33" s="449"/>
      <c r="B33" s="453" t="s">
        <v>396</v>
      </c>
      <c r="C33" s="441"/>
      <c r="D33" s="523">
        <v>3120</v>
      </c>
      <c r="E33" s="523"/>
      <c r="F33" s="523">
        <f>SUM(F30:F32)</f>
        <v>0</v>
      </c>
      <c r="G33" s="443"/>
      <c r="H33" s="524">
        <f>D33-F33</f>
        <v>3120</v>
      </c>
      <c r="I33" s="523"/>
    </row>
    <row r="34" spans="1:9" ht="28.5" customHeight="1" x14ac:dyDescent="0.25">
      <c r="A34" s="70" t="s">
        <v>72</v>
      </c>
      <c r="B34" s="51" t="s">
        <v>73</v>
      </c>
      <c r="C34" s="56">
        <v>20000</v>
      </c>
      <c r="D34" s="521"/>
      <c r="E34" s="521"/>
      <c r="F34" s="521"/>
      <c r="G34" s="438"/>
      <c r="H34" s="521"/>
      <c r="I34" s="521"/>
    </row>
    <row r="35" spans="1:9" x14ac:dyDescent="0.25">
      <c r="A35" s="70"/>
      <c r="B35" s="51"/>
      <c r="C35" s="56"/>
      <c r="D35" s="521"/>
      <c r="E35" s="521"/>
      <c r="F35" s="521"/>
      <c r="G35" s="438"/>
      <c r="H35" s="521"/>
      <c r="I35" s="521"/>
    </row>
    <row r="36" spans="1:9" x14ac:dyDescent="0.25">
      <c r="A36" s="70"/>
      <c r="B36" s="51"/>
      <c r="C36" s="56"/>
      <c r="D36" s="521"/>
      <c r="E36" s="521"/>
      <c r="F36" s="521"/>
      <c r="G36" s="438"/>
      <c r="H36" s="521"/>
      <c r="I36" s="521"/>
    </row>
    <row r="37" spans="1:9" x14ac:dyDescent="0.25">
      <c r="A37" s="449"/>
      <c r="B37" s="440" t="s">
        <v>399</v>
      </c>
      <c r="C37" s="441"/>
      <c r="D37" s="523">
        <v>5000</v>
      </c>
      <c r="E37" s="523"/>
      <c r="F37" s="523">
        <f>SUM(F35:F36)</f>
        <v>0</v>
      </c>
      <c r="G37" s="443"/>
      <c r="H37" s="524">
        <f>D37-F37</f>
        <v>5000</v>
      </c>
      <c r="I37" s="523"/>
    </row>
    <row r="38" spans="1:9" x14ac:dyDescent="0.25">
      <c r="A38" s="70" t="s">
        <v>76</v>
      </c>
      <c r="B38" s="51" t="s">
        <v>77</v>
      </c>
      <c r="C38" s="56">
        <v>2000</v>
      </c>
      <c r="D38" s="521"/>
      <c r="E38" s="521"/>
      <c r="F38" s="521"/>
      <c r="G38" s="438"/>
      <c r="H38" s="521"/>
      <c r="I38" s="521"/>
    </row>
    <row r="39" spans="1:9" ht="32.25" customHeight="1" x14ac:dyDescent="0.25">
      <c r="A39" s="70"/>
      <c r="B39" s="51"/>
      <c r="C39" s="56"/>
      <c r="D39" s="521"/>
      <c r="E39" s="521"/>
      <c r="F39" s="521"/>
      <c r="G39" s="438"/>
      <c r="H39" s="521"/>
      <c r="I39" s="521"/>
    </row>
    <row r="40" spans="1:9" x14ac:dyDescent="0.25">
      <c r="A40" s="70"/>
      <c r="B40" s="51"/>
      <c r="C40" s="56"/>
      <c r="D40" s="521"/>
      <c r="E40" s="521"/>
      <c r="F40" s="521"/>
      <c r="G40" s="438"/>
      <c r="H40" s="521"/>
      <c r="I40" s="521"/>
    </row>
    <row r="41" spans="1:9" ht="25.5" x14ac:dyDescent="0.25">
      <c r="A41" s="449"/>
      <c r="B41" s="440" t="s">
        <v>402</v>
      </c>
      <c r="C41" s="441"/>
      <c r="D41" s="523">
        <v>500</v>
      </c>
      <c r="E41" s="523"/>
      <c r="F41" s="523">
        <f>SUM(F39:F40)</f>
        <v>0</v>
      </c>
      <c r="G41" s="443"/>
      <c r="H41" s="524">
        <f>D41-F41</f>
        <v>500</v>
      </c>
      <c r="I41" s="523"/>
    </row>
    <row r="42" spans="1:9" x14ac:dyDescent="0.25">
      <c r="A42" s="85"/>
      <c r="B42" s="451" t="s">
        <v>79</v>
      </c>
      <c r="C42" s="75">
        <f>SUM(C24:C38)</f>
        <v>36480</v>
      </c>
      <c r="D42" s="527">
        <f>SUM(D41,D37,D33,D28)</f>
        <v>10620</v>
      </c>
      <c r="E42" s="528"/>
      <c r="F42" s="527">
        <f>SUM(F41,F37,F33,F28)</f>
        <v>0</v>
      </c>
      <c r="G42" s="455"/>
      <c r="H42" s="529">
        <f>D42-F42</f>
        <v>10620</v>
      </c>
      <c r="I42" s="528"/>
    </row>
    <row r="43" spans="1:9" ht="63.75" x14ac:dyDescent="0.25">
      <c r="A43" s="445">
        <v>1.4</v>
      </c>
      <c r="B43" s="452" t="s">
        <v>80</v>
      </c>
      <c r="C43" s="352"/>
      <c r="D43" s="525"/>
      <c r="E43" s="525"/>
      <c r="F43" s="525"/>
      <c r="G43" s="447"/>
      <c r="H43" s="525"/>
      <c r="I43" s="525"/>
    </row>
    <row r="44" spans="1:9" x14ac:dyDescent="0.25">
      <c r="A44" s="90" t="s">
        <v>81</v>
      </c>
      <c r="B44" s="51" t="s">
        <v>82</v>
      </c>
      <c r="C44" s="56">
        <v>8000</v>
      </c>
      <c r="D44" s="521"/>
      <c r="E44" s="521"/>
      <c r="F44" s="521"/>
      <c r="G44" s="438"/>
      <c r="H44" s="521"/>
      <c r="I44" s="521"/>
    </row>
    <row r="45" spans="1:9" x14ac:dyDescent="0.25">
      <c r="A45" s="90"/>
      <c r="B45" s="51"/>
      <c r="C45" s="56"/>
      <c r="D45" s="521"/>
      <c r="E45" s="521"/>
      <c r="F45" s="521"/>
      <c r="G45" s="438"/>
      <c r="H45" s="521"/>
      <c r="I45" s="521"/>
    </row>
    <row r="46" spans="1:9" x14ac:dyDescent="0.25">
      <c r="A46" s="449"/>
      <c r="B46" s="440" t="s">
        <v>408</v>
      </c>
      <c r="C46" s="441"/>
      <c r="D46" s="523">
        <v>2000</v>
      </c>
      <c r="E46" s="523"/>
      <c r="F46" s="523">
        <f>F45</f>
        <v>0</v>
      </c>
      <c r="G46" s="443"/>
      <c r="H46" s="524">
        <f>D46-F46</f>
        <v>2000</v>
      </c>
      <c r="I46" s="523"/>
    </row>
    <row r="47" spans="1:9" ht="25.5" x14ac:dyDescent="0.25">
      <c r="A47" s="90" t="s">
        <v>83</v>
      </c>
      <c r="B47" s="51" t="s">
        <v>84</v>
      </c>
      <c r="C47" s="56">
        <v>19680</v>
      </c>
      <c r="D47" s="521"/>
      <c r="E47" s="521"/>
      <c r="F47" s="521"/>
      <c r="G47" s="438"/>
      <c r="H47" s="521"/>
      <c r="I47" s="521"/>
    </row>
    <row r="48" spans="1:9" x14ac:dyDescent="0.25">
      <c r="A48" s="90"/>
      <c r="B48" s="51"/>
      <c r="C48" s="56"/>
      <c r="D48" s="521"/>
      <c r="E48" s="521"/>
      <c r="F48" s="521"/>
      <c r="G48" s="438"/>
      <c r="H48" s="521"/>
      <c r="I48" s="521"/>
    </row>
    <row r="49" spans="1:10" x14ac:dyDescent="0.25">
      <c r="A49" s="90"/>
      <c r="B49" s="51"/>
      <c r="C49" s="56"/>
      <c r="D49" s="521"/>
      <c r="E49" s="521"/>
      <c r="F49" s="521"/>
      <c r="G49" s="438"/>
      <c r="H49" s="521"/>
      <c r="I49" s="521"/>
    </row>
    <row r="50" spans="1:10" x14ac:dyDescent="0.25">
      <c r="A50" s="449"/>
      <c r="B50" s="440" t="s">
        <v>411</v>
      </c>
      <c r="C50" s="441"/>
      <c r="D50" s="523">
        <v>4920</v>
      </c>
      <c r="E50" s="523"/>
      <c r="F50" s="523">
        <f>SUM(F48:F49)</f>
        <v>0</v>
      </c>
      <c r="G50" s="443"/>
      <c r="H50" s="524">
        <f>D50-F50</f>
        <v>4920</v>
      </c>
      <c r="I50" s="523"/>
    </row>
    <row r="51" spans="1:10" ht="38.25" x14ac:dyDescent="0.25">
      <c r="A51" s="90" t="s">
        <v>85</v>
      </c>
      <c r="B51" s="51" t="s">
        <v>86</v>
      </c>
      <c r="C51" s="56">
        <v>30000</v>
      </c>
      <c r="D51" s="521"/>
      <c r="E51" s="521"/>
      <c r="F51" s="521"/>
      <c r="G51" s="438"/>
      <c r="H51" s="521"/>
      <c r="I51" s="521"/>
    </row>
    <row r="52" spans="1:10" x14ac:dyDescent="0.25">
      <c r="A52" s="90"/>
      <c r="B52" s="51"/>
      <c r="C52" s="56"/>
      <c r="D52" s="521"/>
      <c r="E52" s="521"/>
      <c r="F52" s="521"/>
      <c r="G52" s="438"/>
      <c r="H52" s="521"/>
      <c r="I52" s="521"/>
    </row>
    <row r="53" spans="1:10" x14ac:dyDescent="0.25">
      <c r="A53" s="90"/>
      <c r="B53" s="51"/>
      <c r="C53" s="56"/>
      <c r="D53" s="521"/>
      <c r="E53" s="521"/>
      <c r="F53" s="521"/>
      <c r="G53" s="438"/>
      <c r="H53" s="521"/>
      <c r="I53" s="521"/>
    </row>
    <row r="54" spans="1:10" x14ac:dyDescent="0.25">
      <c r="A54" s="449"/>
      <c r="B54" s="440" t="s">
        <v>414</v>
      </c>
      <c r="C54" s="441"/>
      <c r="D54" s="523">
        <v>7500</v>
      </c>
      <c r="E54" s="523"/>
      <c r="F54" s="523">
        <f>SUM(F52:F53)</f>
        <v>0</v>
      </c>
      <c r="G54" s="443"/>
      <c r="H54" s="524">
        <f>D54-F54</f>
        <v>7500</v>
      </c>
      <c r="I54" s="523"/>
    </row>
    <row r="55" spans="1:10" x14ac:dyDescent="0.25">
      <c r="A55" s="90" t="s">
        <v>88</v>
      </c>
      <c r="B55" s="51" t="s">
        <v>77</v>
      </c>
      <c r="C55" s="56">
        <v>2000</v>
      </c>
      <c r="D55" s="521"/>
      <c r="E55" s="521"/>
      <c r="F55" s="521"/>
      <c r="G55" s="438"/>
      <c r="H55" s="521"/>
      <c r="I55" s="521"/>
    </row>
    <row r="56" spans="1:10" x14ac:dyDescent="0.25">
      <c r="A56" s="90"/>
      <c r="B56" s="51"/>
      <c r="C56" s="56"/>
      <c r="D56" s="521"/>
      <c r="E56" s="521"/>
      <c r="F56" s="521"/>
      <c r="G56" s="438"/>
      <c r="H56" s="521"/>
      <c r="I56" s="521"/>
    </row>
    <row r="57" spans="1:10" x14ac:dyDescent="0.25">
      <c r="A57" s="90"/>
      <c r="B57" s="51"/>
      <c r="C57" s="56"/>
      <c r="D57" s="521"/>
      <c r="E57" s="521"/>
      <c r="F57" s="521"/>
      <c r="G57" s="438"/>
      <c r="H57" s="521"/>
      <c r="I57" s="521"/>
    </row>
    <row r="58" spans="1:10" x14ac:dyDescent="0.25">
      <c r="A58" s="449"/>
      <c r="B58" s="440" t="s">
        <v>417</v>
      </c>
      <c r="C58" s="441"/>
      <c r="D58" s="523">
        <v>500</v>
      </c>
      <c r="E58" s="523"/>
      <c r="F58" s="523">
        <f>SUM(F56:F57)</f>
        <v>0</v>
      </c>
      <c r="G58" s="443"/>
      <c r="H58" s="524">
        <f>D58-F58</f>
        <v>500</v>
      </c>
      <c r="I58" s="523"/>
    </row>
    <row r="59" spans="1:10" x14ac:dyDescent="0.25">
      <c r="A59" s="94"/>
      <c r="B59" s="457" t="s">
        <v>89</v>
      </c>
      <c r="C59" s="97">
        <f>SUM(C44:C55)</f>
        <v>59680</v>
      </c>
      <c r="D59" s="528">
        <f>SUM(D58,D54,D50,D46)</f>
        <v>14920</v>
      </c>
      <c r="E59" s="528"/>
      <c r="F59" s="528">
        <f>SUM(F58,F54,F50,F46)</f>
        <v>0</v>
      </c>
      <c r="G59" s="455"/>
      <c r="H59" s="529">
        <f>D59-F59</f>
        <v>14920</v>
      </c>
      <c r="I59" s="528"/>
    </row>
    <row r="60" spans="1:10" x14ac:dyDescent="0.25">
      <c r="A60" s="445">
        <v>1.5</v>
      </c>
      <c r="B60" s="452" t="s">
        <v>90</v>
      </c>
      <c r="C60" s="352"/>
      <c r="D60" s="525"/>
      <c r="E60" s="525"/>
      <c r="F60" s="525"/>
      <c r="G60" s="447"/>
      <c r="H60" s="525"/>
      <c r="I60" s="525"/>
    </row>
    <row r="61" spans="1:10" ht="44.25" customHeight="1" x14ac:dyDescent="0.25">
      <c r="A61" s="90" t="s">
        <v>91</v>
      </c>
      <c r="B61" s="51" t="s">
        <v>346</v>
      </c>
      <c r="C61" s="56">
        <v>157320</v>
      </c>
      <c r="D61" s="521"/>
      <c r="E61" s="521"/>
      <c r="F61" s="521"/>
      <c r="G61" s="438"/>
      <c r="H61" s="521"/>
      <c r="I61" s="521"/>
      <c r="J61" s="458"/>
    </row>
    <row r="62" spans="1:10" x14ac:dyDescent="0.25">
      <c r="A62" s="90"/>
      <c r="B62" s="51"/>
      <c r="C62" s="56"/>
      <c r="D62" s="521"/>
      <c r="E62" s="521"/>
      <c r="F62" s="521"/>
      <c r="G62" s="438"/>
      <c r="H62" s="521"/>
      <c r="I62" s="521"/>
    </row>
    <row r="63" spans="1:10" x14ac:dyDescent="0.25">
      <c r="A63" s="449"/>
      <c r="B63" s="440" t="s">
        <v>418</v>
      </c>
      <c r="C63" s="441"/>
      <c r="D63" s="522"/>
      <c r="E63" s="523"/>
      <c r="F63" s="523">
        <f>SUM(F62:F62)</f>
        <v>0</v>
      </c>
      <c r="G63" s="443"/>
      <c r="H63" s="524">
        <f>D63-F63</f>
        <v>0</v>
      </c>
      <c r="I63" s="523"/>
    </row>
    <row r="64" spans="1:10" x14ac:dyDescent="0.25">
      <c r="A64" s="94"/>
      <c r="B64" s="457" t="s">
        <v>93</v>
      </c>
      <c r="C64" s="97">
        <f>C61</f>
        <v>157320</v>
      </c>
      <c r="D64" s="530">
        <f>D63</f>
        <v>0</v>
      </c>
      <c r="E64" s="528"/>
      <c r="F64" s="528">
        <f>F63</f>
        <v>0</v>
      </c>
      <c r="G64" s="455"/>
      <c r="H64" s="529">
        <f>D64-F64</f>
        <v>0</v>
      </c>
      <c r="I64" s="528"/>
    </row>
    <row r="65" spans="1:10" x14ac:dyDescent="0.25">
      <c r="A65" s="445">
        <v>1.6</v>
      </c>
      <c r="B65" s="452" t="s">
        <v>94</v>
      </c>
      <c r="C65" s="358"/>
      <c r="D65" s="525"/>
      <c r="E65" s="525"/>
      <c r="F65" s="525"/>
      <c r="G65" s="447"/>
      <c r="H65" s="525"/>
      <c r="I65" s="525"/>
    </row>
    <row r="66" spans="1:10" x14ac:dyDescent="0.25">
      <c r="A66" s="90" t="s">
        <v>95</v>
      </c>
      <c r="B66" s="51" t="s">
        <v>96</v>
      </c>
      <c r="C66" s="56"/>
      <c r="D66" s="521"/>
      <c r="E66" s="521"/>
      <c r="F66" s="521"/>
      <c r="G66" s="438"/>
      <c r="H66" s="521"/>
      <c r="I66" s="521"/>
    </row>
    <row r="67" spans="1:10" x14ac:dyDescent="0.25">
      <c r="A67" s="90"/>
      <c r="B67" s="51"/>
      <c r="C67" s="56"/>
      <c r="D67" s="521"/>
      <c r="E67" s="521"/>
      <c r="F67" s="521"/>
      <c r="G67" s="438"/>
      <c r="H67" s="521"/>
      <c r="I67" s="521"/>
    </row>
    <row r="68" spans="1:10" x14ac:dyDescent="0.25">
      <c r="A68" s="449"/>
      <c r="B68" s="440" t="s">
        <v>597</v>
      </c>
      <c r="C68" s="441"/>
      <c r="D68" s="522"/>
      <c r="E68" s="523"/>
      <c r="F68" s="523">
        <f>SUM(F67:F67)</f>
        <v>0</v>
      </c>
      <c r="G68" s="443"/>
      <c r="H68" s="524">
        <f>D68-F68</f>
        <v>0</v>
      </c>
      <c r="I68" s="523"/>
    </row>
    <row r="69" spans="1:10" ht="25.5" x14ac:dyDescent="0.25">
      <c r="A69" s="90" t="s">
        <v>99</v>
      </c>
      <c r="B69" s="84" t="s">
        <v>100</v>
      </c>
      <c r="C69" s="56"/>
      <c r="D69" s="521"/>
      <c r="E69" s="521"/>
      <c r="F69" s="521"/>
      <c r="G69" s="438"/>
      <c r="H69" s="521"/>
      <c r="I69" s="521"/>
    </row>
    <row r="70" spans="1:10" x14ac:dyDescent="0.25">
      <c r="A70" s="90"/>
      <c r="B70" s="84"/>
      <c r="C70" s="56"/>
      <c r="D70" s="521"/>
      <c r="E70" s="521"/>
      <c r="F70" s="521"/>
      <c r="G70" s="438"/>
      <c r="H70" s="521"/>
      <c r="I70" s="521"/>
    </row>
    <row r="71" spans="1:10" x14ac:dyDescent="0.25">
      <c r="A71" s="449"/>
      <c r="B71" s="440" t="s">
        <v>598</v>
      </c>
      <c r="C71" s="441"/>
      <c r="D71" s="522"/>
      <c r="E71" s="523"/>
      <c r="F71" s="523">
        <f>SUM(F70:F70)</f>
        <v>0</v>
      </c>
      <c r="G71" s="443"/>
      <c r="H71" s="524">
        <f>D71-F71</f>
        <v>0</v>
      </c>
      <c r="I71" s="523"/>
    </row>
    <row r="72" spans="1:10" ht="38.25" x14ac:dyDescent="0.25">
      <c r="A72" s="90" t="s">
        <v>101</v>
      </c>
      <c r="B72" s="51" t="s">
        <v>102</v>
      </c>
      <c r="C72" s="56"/>
      <c r="D72" s="521"/>
      <c r="E72" s="521"/>
      <c r="F72" s="521"/>
      <c r="G72" s="438"/>
      <c r="H72" s="521"/>
      <c r="I72" s="521"/>
    </row>
    <row r="73" spans="1:10" x14ac:dyDescent="0.25">
      <c r="A73" s="90"/>
      <c r="B73" s="51"/>
      <c r="C73" s="56"/>
      <c r="D73" s="521"/>
      <c r="E73" s="521"/>
      <c r="F73" s="521"/>
      <c r="G73" s="438"/>
      <c r="H73" s="521"/>
      <c r="I73" s="521"/>
    </row>
    <row r="74" spans="1:10" x14ac:dyDescent="0.25">
      <c r="A74" s="90"/>
      <c r="B74" s="51"/>
      <c r="C74" s="56"/>
      <c r="D74" s="521"/>
      <c r="E74" s="521"/>
      <c r="F74" s="521"/>
      <c r="G74" s="438"/>
      <c r="H74" s="521"/>
      <c r="I74" s="521"/>
    </row>
    <row r="75" spans="1:10" x14ac:dyDescent="0.25">
      <c r="A75" s="449"/>
      <c r="B75" s="440" t="s">
        <v>599</v>
      </c>
      <c r="C75" s="441"/>
      <c r="D75" s="522"/>
      <c r="E75" s="523"/>
      <c r="F75" s="523">
        <f>SUM(F73:F74)</f>
        <v>0</v>
      </c>
      <c r="G75" s="443"/>
      <c r="H75" s="524">
        <f>D75-F75</f>
        <v>0</v>
      </c>
      <c r="I75" s="523"/>
    </row>
    <row r="76" spans="1:10" x14ac:dyDescent="0.25">
      <c r="A76" s="90" t="s">
        <v>103</v>
      </c>
      <c r="B76" s="51" t="s">
        <v>104</v>
      </c>
      <c r="C76" s="56"/>
      <c r="D76" s="521"/>
      <c r="E76" s="521"/>
      <c r="F76" s="521"/>
      <c r="G76" s="438"/>
      <c r="H76" s="521"/>
      <c r="I76" s="521"/>
    </row>
    <row r="77" spans="1:10" x14ac:dyDescent="0.25">
      <c r="A77" s="90"/>
      <c r="B77" s="51"/>
      <c r="C77" s="56"/>
      <c r="D77" s="521"/>
      <c r="E77" s="521"/>
      <c r="F77" s="521"/>
      <c r="G77" s="438"/>
      <c r="H77" s="521"/>
      <c r="I77" s="521"/>
    </row>
    <row r="78" spans="1:10" x14ac:dyDescent="0.25">
      <c r="A78" s="90"/>
      <c r="B78" s="51"/>
      <c r="C78" s="56"/>
      <c r="D78" s="521"/>
      <c r="E78" s="521"/>
      <c r="F78" s="521"/>
      <c r="G78" s="438"/>
      <c r="H78" s="521"/>
      <c r="I78" s="521"/>
    </row>
    <row r="79" spans="1:10" x14ac:dyDescent="0.25">
      <c r="A79" s="449"/>
      <c r="B79" s="440" t="s">
        <v>600</v>
      </c>
      <c r="C79" s="441"/>
      <c r="D79" s="522"/>
      <c r="E79" s="523"/>
      <c r="F79" s="523">
        <f>SUM(F77:F78)</f>
        <v>0</v>
      </c>
      <c r="G79" s="443"/>
      <c r="H79" s="524">
        <f>D79-F79</f>
        <v>0</v>
      </c>
      <c r="I79" s="523"/>
    </row>
    <row r="80" spans="1:10" ht="21.75" customHeight="1" x14ac:dyDescent="0.25">
      <c r="A80" s="94"/>
      <c r="B80" s="457" t="s">
        <v>105</v>
      </c>
      <c r="C80" s="97">
        <f>SUM(C66:C76)</f>
        <v>0</v>
      </c>
      <c r="D80" s="531">
        <v>0</v>
      </c>
      <c r="E80" s="528"/>
      <c r="F80" s="531">
        <f>F79+F75+F71+F68</f>
        <v>0</v>
      </c>
      <c r="G80" s="455"/>
      <c r="H80" s="529">
        <f>D80-F80</f>
        <v>0</v>
      </c>
      <c r="I80" s="528"/>
      <c r="J80" s="461"/>
    </row>
    <row r="81" spans="1:9" x14ac:dyDescent="0.25">
      <c r="A81" s="359"/>
      <c r="B81" s="462" t="s">
        <v>106</v>
      </c>
      <c r="C81" s="98">
        <f>SUM(C80,C64,C59,C42,C22)</f>
        <v>333400</v>
      </c>
      <c r="D81" s="532">
        <f>SUM(D80,D64,D59,D42,D22)</f>
        <v>45520</v>
      </c>
      <c r="E81" s="533"/>
      <c r="F81" s="532">
        <f>SUM(F80,F64,F59,F42,F22,F16)</f>
        <v>0</v>
      </c>
      <c r="G81" s="464"/>
      <c r="H81" s="534">
        <f>D81-F81</f>
        <v>45520</v>
      </c>
      <c r="I81" s="533"/>
    </row>
    <row r="82" spans="1:9" x14ac:dyDescent="0.25">
      <c r="A82" s="116"/>
      <c r="B82" s="466" t="s">
        <v>107</v>
      </c>
      <c r="C82" s="119"/>
      <c r="D82" s="535"/>
      <c r="E82" s="535"/>
      <c r="F82" s="535"/>
      <c r="G82" s="467"/>
      <c r="H82" s="535"/>
      <c r="I82" s="535"/>
    </row>
    <row r="83" spans="1:9" ht="74.25" customHeight="1" x14ac:dyDescent="0.25">
      <c r="A83" s="445">
        <v>2.1</v>
      </c>
      <c r="B83" s="452" t="s">
        <v>108</v>
      </c>
      <c r="C83" s="363"/>
      <c r="D83" s="536"/>
      <c r="E83" s="536"/>
      <c r="F83" s="536"/>
      <c r="G83" s="468"/>
      <c r="H83" s="536"/>
      <c r="I83" s="536"/>
    </row>
    <row r="84" spans="1:9" x14ac:dyDescent="0.25">
      <c r="A84" s="124" t="s">
        <v>109</v>
      </c>
      <c r="B84" s="51" t="s">
        <v>110</v>
      </c>
      <c r="C84" s="56">
        <v>8000</v>
      </c>
      <c r="D84" s="521"/>
      <c r="E84" s="521"/>
      <c r="F84" s="521"/>
      <c r="G84" s="438"/>
      <c r="H84" s="521"/>
      <c r="I84" s="521"/>
    </row>
    <row r="85" spans="1:9" x14ac:dyDescent="0.25">
      <c r="A85" s="124"/>
      <c r="B85" s="51"/>
      <c r="C85" s="56"/>
      <c r="D85" s="521"/>
      <c r="E85" s="521"/>
      <c r="F85" s="521"/>
      <c r="G85" s="438"/>
      <c r="H85" s="521"/>
      <c r="I85" s="521"/>
    </row>
    <row r="86" spans="1:9" x14ac:dyDescent="0.25">
      <c r="A86" s="124"/>
      <c r="B86" s="51"/>
      <c r="C86" s="56"/>
      <c r="D86" s="521"/>
      <c r="E86" s="521"/>
      <c r="F86" s="521"/>
      <c r="G86" s="438"/>
      <c r="H86" s="521"/>
      <c r="I86" s="521"/>
    </row>
    <row r="87" spans="1:9" x14ac:dyDescent="0.25">
      <c r="A87" s="469"/>
      <c r="B87" s="440" t="s">
        <v>422</v>
      </c>
      <c r="C87" s="441"/>
      <c r="D87" s="523">
        <v>2000</v>
      </c>
      <c r="E87" s="523"/>
      <c r="F87" s="523">
        <f>SUM(F85:F86)</f>
        <v>0</v>
      </c>
      <c r="G87" s="443"/>
      <c r="H87" s="524">
        <f>D87-F87</f>
        <v>2000</v>
      </c>
      <c r="I87" s="523"/>
    </row>
    <row r="88" spans="1:9" ht="25.5" x14ac:dyDescent="0.25">
      <c r="A88" s="124" t="s">
        <v>111</v>
      </c>
      <c r="B88" s="51" t="s">
        <v>112</v>
      </c>
      <c r="C88" s="56">
        <v>19680</v>
      </c>
      <c r="D88" s="521"/>
      <c r="E88" s="521"/>
      <c r="F88" s="521"/>
      <c r="G88" s="438"/>
      <c r="H88" s="521"/>
      <c r="I88" s="521"/>
    </row>
    <row r="89" spans="1:9" x14ac:dyDescent="0.25">
      <c r="A89" s="124"/>
      <c r="B89" s="51"/>
      <c r="C89" s="56"/>
      <c r="D89" s="521"/>
      <c r="E89" s="521"/>
      <c r="F89" s="521"/>
      <c r="G89" s="438"/>
      <c r="H89" s="521"/>
      <c r="I89" s="521"/>
    </row>
    <row r="90" spans="1:9" x14ac:dyDescent="0.25">
      <c r="A90" s="124"/>
      <c r="B90" s="51"/>
      <c r="C90" s="56"/>
      <c r="D90" s="521"/>
      <c r="E90" s="521"/>
      <c r="F90" s="521"/>
      <c r="G90" s="438"/>
      <c r="H90" s="521"/>
      <c r="I90" s="521"/>
    </row>
    <row r="91" spans="1:9" x14ac:dyDescent="0.25">
      <c r="A91" s="469"/>
      <c r="B91" s="440" t="s">
        <v>425</v>
      </c>
      <c r="C91" s="441"/>
      <c r="D91" s="523">
        <v>4920</v>
      </c>
      <c r="E91" s="523"/>
      <c r="F91" s="523">
        <f>SUM(F89:F90)</f>
        <v>0</v>
      </c>
      <c r="G91" s="443"/>
      <c r="H91" s="524">
        <f>D91-F91</f>
        <v>4920</v>
      </c>
      <c r="I91" s="523"/>
    </row>
    <row r="92" spans="1:9" ht="25.5" x14ac:dyDescent="0.25">
      <c r="A92" s="124" t="s">
        <v>113</v>
      </c>
      <c r="B92" s="51" t="s">
        <v>114</v>
      </c>
      <c r="C92" s="56">
        <v>20000</v>
      </c>
      <c r="D92" s="521"/>
      <c r="E92" s="521"/>
      <c r="F92" s="521"/>
      <c r="G92" s="438"/>
      <c r="H92" s="521"/>
      <c r="I92" s="521"/>
    </row>
    <row r="93" spans="1:9" x14ac:dyDescent="0.25">
      <c r="A93" s="124"/>
      <c r="B93" s="51"/>
      <c r="C93" s="56"/>
      <c r="D93" s="521"/>
      <c r="E93" s="521"/>
      <c r="F93" s="521"/>
      <c r="G93" s="438"/>
      <c r="H93" s="521"/>
      <c r="I93" s="521"/>
    </row>
    <row r="94" spans="1:9" x14ac:dyDescent="0.25">
      <c r="A94" s="124"/>
      <c r="B94" s="51"/>
      <c r="C94" s="56"/>
      <c r="D94" s="521"/>
      <c r="E94" s="521"/>
      <c r="F94" s="521"/>
      <c r="G94" s="438"/>
      <c r="H94" s="521"/>
      <c r="I94" s="521"/>
    </row>
    <row r="95" spans="1:9" x14ac:dyDescent="0.25">
      <c r="A95" s="469"/>
      <c r="B95" s="440" t="s">
        <v>427</v>
      </c>
      <c r="C95" s="441"/>
      <c r="D95" s="523">
        <v>5000</v>
      </c>
      <c r="E95" s="523"/>
      <c r="F95" s="523">
        <f>SUM(F93:F94)</f>
        <v>0</v>
      </c>
      <c r="G95" s="443"/>
      <c r="H95" s="524">
        <f>D95-F95</f>
        <v>5000</v>
      </c>
      <c r="I95" s="523"/>
    </row>
    <row r="96" spans="1:9" x14ac:dyDescent="0.25">
      <c r="A96" s="124" t="s">
        <v>116</v>
      </c>
      <c r="B96" s="51" t="s">
        <v>117</v>
      </c>
      <c r="C96" s="56">
        <v>2000</v>
      </c>
      <c r="D96" s="521"/>
      <c r="E96" s="521"/>
      <c r="F96" s="521"/>
      <c r="G96" s="438"/>
      <c r="H96" s="521"/>
      <c r="I96" s="521"/>
    </row>
    <row r="97" spans="1:9" x14ac:dyDescent="0.25">
      <c r="A97" s="124"/>
      <c r="B97" s="51"/>
      <c r="C97" s="56"/>
      <c r="D97" s="521"/>
      <c r="E97" s="521"/>
      <c r="F97" s="521"/>
      <c r="G97" s="438"/>
      <c r="H97" s="521"/>
      <c r="I97" s="521"/>
    </row>
    <row r="98" spans="1:9" x14ac:dyDescent="0.25">
      <c r="A98" s="124"/>
      <c r="B98" s="51"/>
      <c r="C98" s="56"/>
      <c r="D98" s="521"/>
      <c r="E98" s="521"/>
      <c r="F98" s="521"/>
      <c r="G98" s="438"/>
      <c r="H98" s="521"/>
      <c r="I98" s="521"/>
    </row>
    <row r="99" spans="1:9" ht="25.5" x14ac:dyDescent="0.25">
      <c r="A99" s="469"/>
      <c r="B99" s="440" t="s">
        <v>430</v>
      </c>
      <c r="C99" s="441"/>
      <c r="D99" s="523">
        <v>500</v>
      </c>
      <c r="E99" s="523"/>
      <c r="F99" s="523">
        <f>SUM(F97:F98)</f>
        <v>0</v>
      </c>
      <c r="G99" s="443"/>
      <c r="H99" s="524">
        <f>D99-F99</f>
        <v>500</v>
      </c>
      <c r="I99" s="523"/>
    </row>
    <row r="100" spans="1:9" x14ac:dyDescent="0.25">
      <c r="A100" s="94"/>
      <c r="B100" s="457" t="s">
        <v>118</v>
      </c>
      <c r="C100" s="97">
        <f>SUM(C84:C96)</f>
        <v>49680</v>
      </c>
      <c r="D100" s="528">
        <f>SUM(D99,D95,D91,D87)</f>
        <v>12420</v>
      </c>
      <c r="E100" s="528"/>
      <c r="F100" s="528">
        <f>SUM(F99,F95,F91,F87)</f>
        <v>0</v>
      </c>
      <c r="G100" s="455"/>
      <c r="H100" s="529">
        <f>D100-F100</f>
        <v>12420</v>
      </c>
      <c r="I100" s="528"/>
    </row>
    <row r="101" spans="1:9" ht="38.25" x14ac:dyDescent="0.25">
      <c r="A101" s="445">
        <v>2.2000000000000002</v>
      </c>
      <c r="B101" s="452" t="s">
        <v>119</v>
      </c>
      <c r="C101" s="363"/>
      <c r="D101" s="525"/>
      <c r="E101" s="525"/>
      <c r="F101" s="525"/>
      <c r="G101" s="447"/>
      <c r="H101" s="525"/>
      <c r="I101" s="525"/>
    </row>
    <row r="102" spans="1:9" x14ac:dyDescent="0.25">
      <c r="A102" s="124" t="s">
        <v>120</v>
      </c>
      <c r="B102" s="51" t="s">
        <v>121</v>
      </c>
      <c r="C102" s="56">
        <v>5000</v>
      </c>
      <c r="D102" s="521"/>
      <c r="E102" s="521"/>
      <c r="F102" s="521"/>
      <c r="G102" s="438"/>
      <c r="H102" s="521"/>
      <c r="I102" s="521"/>
    </row>
    <row r="103" spans="1:9" x14ac:dyDescent="0.25">
      <c r="A103" s="124"/>
      <c r="B103" s="51"/>
      <c r="C103" s="56"/>
      <c r="D103" s="521"/>
      <c r="E103" s="521"/>
      <c r="F103" s="521"/>
      <c r="G103" s="438"/>
      <c r="H103" s="521"/>
      <c r="I103" s="521"/>
    </row>
    <row r="104" spans="1:9" x14ac:dyDescent="0.25">
      <c r="A104" s="124"/>
      <c r="B104" s="51"/>
      <c r="C104" s="56"/>
      <c r="D104" s="521"/>
      <c r="E104" s="521"/>
      <c r="F104" s="521"/>
      <c r="G104" s="438"/>
      <c r="H104" s="521"/>
      <c r="I104" s="521"/>
    </row>
    <row r="105" spans="1:9" x14ac:dyDescent="0.25">
      <c r="A105" s="469"/>
      <c r="B105" s="440" t="s">
        <v>431</v>
      </c>
      <c r="C105" s="441"/>
      <c r="D105" s="523">
        <v>0</v>
      </c>
      <c r="E105" s="523"/>
      <c r="F105" s="523">
        <f>SUM(F103:F104)</f>
        <v>0</v>
      </c>
      <c r="G105" s="443"/>
      <c r="H105" s="524">
        <f>D105-F105</f>
        <v>0</v>
      </c>
      <c r="I105" s="523"/>
    </row>
    <row r="106" spans="1:9" ht="25.5" x14ac:dyDescent="0.25">
      <c r="A106" s="124" t="s">
        <v>122</v>
      </c>
      <c r="B106" s="51" t="s">
        <v>123</v>
      </c>
      <c r="C106" s="56">
        <v>9840</v>
      </c>
      <c r="D106" s="521"/>
      <c r="E106" s="521"/>
      <c r="F106" s="521"/>
      <c r="G106" s="438"/>
      <c r="H106" s="521"/>
      <c r="I106" s="521"/>
    </row>
    <row r="107" spans="1:9" x14ac:dyDescent="0.25">
      <c r="A107" s="124"/>
      <c r="B107" s="51"/>
      <c r="C107" s="56"/>
      <c r="D107" s="521"/>
      <c r="E107" s="521"/>
      <c r="F107" s="521"/>
      <c r="G107" s="438"/>
      <c r="H107" s="521"/>
      <c r="I107" s="521"/>
    </row>
    <row r="108" spans="1:9" x14ac:dyDescent="0.25">
      <c r="A108" s="124"/>
      <c r="B108" s="51"/>
      <c r="C108" s="56"/>
      <c r="D108" s="521"/>
      <c r="E108" s="521"/>
      <c r="F108" s="521"/>
      <c r="G108" s="438"/>
      <c r="H108" s="521"/>
      <c r="I108" s="521"/>
    </row>
    <row r="109" spans="1:9" x14ac:dyDescent="0.25">
      <c r="A109" s="469"/>
      <c r="B109" s="440" t="s">
        <v>432</v>
      </c>
      <c r="C109" s="441"/>
      <c r="D109" s="523">
        <v>0</v>
      </c>
      <c r="E109" s="523"/>
      <c r="F109" s="523">
        <f>SUM(F107:F108)</f>
        <v>0</v>
      </c>
      <c r="G109" s="443"/>
      <c r="H109" s="524">
        <f>D109-F109</f>
        <v>0</v>
      </c>
      <c r="I109" s="523"/>
    </row>
    <row r="110" spans="1:9" ht="25.5" x14ac:dyDescent="0.25">
      <c r="A110" s="124" t="s">
        <v>124</v>
      </c>
      <c r="B110" s="51" t="s">
        <v>125</v>
      </c>
      <c r="C110" s="56">
        <v>10000</v>
      </c>
      <c r="D110" s="521"/>
      <c r="E110" s="521"/>
      <c r="F110" s="521"/>
      <c r="G110" s="438"/>
      <c r="H110" s="521"/>
      <c r="I110" s="521"/>
    </row>
    <row r="111" spans="1:9" x14ac:dyDescent="0.25">
      <c r="A111" s="124"/>
      <c r="B111" s="51"/>
      <c r="C111" s="56"/>
      <c r="D111" s="521"/>
      <c r="E111" s="521"/>
      <c r="F111" s="521"/>
      <c r="G111" s="438"/>
      <c r="H111" s="521"/>
      <c r="I111" s="521"/>
    </row>
    <row r="112" spans="1:9" x14ac:dyDescent="0.25">
      <c r="A112" s="124"/>
      <c r="B112" s="51"/>
      <c r="C112" s="56"/>
      <c r="D112" s="521"/>
      <c r="E112" s="521"/>
      <c r="F112" s="521"/>
      <c r="G112" s="438"/>
      <c r="H112" s="521"/>
      <c r="I112" s="521"/>
    </row>
    <row r="113" spans="1:9" x14ac:dyDescent="0.25">
      <c r="A113" s="469"/>
      <c r="B113" s="440" t="s">
        <v>433</v>
      </c>
      <c r="C113" s="441"/>
      <c r="D113" s="523">
        <v>0</v>
      </c>
      <c r="E113" s="523"/>
      <c r="F113" s="523">
        <f>SUM(F111:F112)</f>
        <v>0</v>
      </c>
      <c r="G113" s="443"/>
      <c r="H113" s="524">
        <f>D113-F113</f>
        <v>0</v>
      </c>
      <c r="I113" s="523"/>
    </row>
    <row r="114" spans="1:9" x14ac:dyDescent="0.25">
      <c r="A114" s="124" t="s">
        <v>127</v>
      </c>
      <c r="B114" s="51" t="s">
        <v>117</v>
      </c>
      <c r="C114" s="56">
        <v>1000</v>
      </c>
      <c r="D114" s="521"/>
      <c r="E114" s="521"/>
      <c r="F114" s="521"/>
      <c r="G114" s="438"/>
      <c r="H114" s="521"/>
      <c r="I114" s="521"/>
    </row>
    <row r="115" spans="1:9" x14ac:dyDescent="0.25">
      <c r="A115" s="124"/>
      <c r="B115" s="51"/>
      <c r="C115" s="56"/>
      <c r="D115" s="521"/>
      <c r="E115" s="521"/>
      <c r="F115" s="521"/>
      <c r="G115" s="438"/>
      <c r="H115" s="521"/>
      <c r="I115" s="521"/>
    </row>
    <row r="116" spans="1:9" x14ac:dyDescent="0.25">
      <c r="A116" s="124"/>
      <c r="B116" s="51"/>
      <c r="C116" s="56"/>
      <c r="D116" s="521"/>
      <c r="E116" s="521"/>
      <c r="F116" s="521"/>
      <c r="G116" s="438"/>
      <c r="H116" s="521"/>
      <c r="I116" s="521"/>
    </row>
    <row r="117" spans="1:9" x14ac:dyDescent="0.25">
      <c r="A117" s="469"/>
      <c r="B117" s="440" t="s">
        <v>434</v>
      </c>
      <c r="C117" s="441"/>
      <c r="D117" s="523">
        <v>0</v>
      </c>
      <c r="E117" s="523"/>
      <c r="F117" s="523">
        <f>SUM(F115:F116)</f>
        <v>0</v>
      </c>
      <c r="G117" s="443"/>
      <c r="H117" s="524">
        <f>D117-F117</f>
        <v>0</v>
      </c>
      <c r="I117" s="523"/>
    </row>
    <row r="118" spans="1:9" x14ac:dyDescent="0.25">
      <c r="A118" s="94"/>
      <c r="B118" s="457" t="s">
        <v>128</v>
      </c>
      <c r="C118" s="97">
        <f>SUM(C102:C114)</f>
        <v>25840</v>
      </c>
      <c r="D118" s="528">
        <f>SUM(D117,D113,D109,D105)</f>
        <v>0</v>
      </c>
      <c r="E118" s="528"/>
      <c r="F118" s="528">
        <f>SUM(F117,F113,F109,F105)</f>
        <v>0</v>
      </c>
      <c r="G118" s="455"/>
      <c r="H118" s="529">
        <f>D118-F118</f>
        <v>0</v>
      </c>
      <c r="I118" s="528"/>
    </row>
    <row r="119" spans="1:9" ht="25.5" x14ac:dyDescent="0.25">
      <c r="A119" s="445">
        <v>2.2999999999999998</v>
      </c>
      <c r="B119" s="452" t="s">
        <v>129</v>
      </c>
      <c r="C119" s="363"/>
      <c r="D119" s="525"/>
      <c r="E119" s="525"/>
      <c r="F119" s="525"/>
      <c r="G119" s="447"/>
      <c r="H119" s="525"/>
      <c r="I119" s="525"/>
    </row>
    <row r="120" spans="1:9" x14ac:dyDescent="0.25">
      <c r="A120" s="124" t="s">
        <v>130</v>
      </c>
      <c r="B120" s="51" t="s">
        <v>121</v>
      </c>
      <c r="C120" s="56">
        <v>5000</v>
      </c>
      <c r="D120" s="521"/>
      <c r="E120" s="521"/>
      <c r="F120" s="521"/>
      <c r="G120" s="438"/>
      <c r="H120" s="521"/>
      <c r="I120" s="521"/>
    </row>
    <row r="121" spans="1:9" ht="56.25" customHeight="1" x14ac:dyDescent="0.25">
      <c r="A121" s="124"/>
      <c r="B121" s="51"/>
      <c r="C121" s="56"/>
      <c r="D121" s="521"/>
      <c r="E121" s="521"/>
      <c r="F121" s="521"/>
      <c r="G121" s="438"/>
      <c r="H121" s="521"/>
      <c r="I121" s="521"/>
    </row>
    <row r="122" spans="1:9" x14ac:dyDescent="0.25">
      <c r="A122" s="124"/>
      <c r="B122" s="51"/>
      <c r="C122" s="56"/>
      <c r="D122" s="521"/>
      <c r="E122" s="521"/>
      <c r="F122" s="521"/>
      <c r="G122" s="438"/>
      <c r="H122" s="521"/>
      <c r="I122" s="521"/>
    </row>
    <row r="123" spans="1:9" x14ac:dyDescent="0.25">
      <c r="A123" s="469"/>
      <c r="B123" s="440" t="s">
        <v>435</v>
      </c>
      <c r="C123" s="441"/>
      <c r="D123" s="523"/>
      <c r="E123" s="523"/>
      <c r="F123" s="523">
        <f>SUM(F121:F122)</f>
        <v>0</v>
      </c>
      <c r="G123" s="443"/>
      <c r="H123" s="524">
        <f>D123-F123</f>
        <v>0</v>
      </c>
      <c r="I123" s="523"/>
    </row>
    <row r="124" spans="1:9" ht="30.75" customHeight="1" x14ac:dyDescent="0.25">
      <c r="A124" s="124" t="s">
        <v>132</v>
      </c>
      <c r="B124" s="51" t="s">
        <v>133</v>
      </c>
      <c r="C124" s="56">
        <v>6480</v>
      </c>
      <c r="D124" s="521"/>
      <c r="E124" s="521"/>
      <c r="F124" s="521"/>
      <c r="G124" s="438"/>
      <c r="H124" s="521"/>
      <c r="I124" s="521"/>
    </row>
    <row r="125" spans="1:9" ht="63.75" customHeight="1" x14ac:dyDescent="0.25">
      <c r="A125" s="124"/>
      <c r="B125" s="51"/>
      <c r="C125" s="56"/>
      <c r="D125" s="521"/>
      <c r="E125" s="521"/>
      <c r="F125" s="521"/>
      <c r="G125" s="438"/>
      <c r="H125" s="521"/>
      <c r="I125" s="521"/>
    </row>
    <row r="126" spans="1:9" x14ac:dyDescent="0.25">
      <c r="A126" s="124"/>
      <c r="B126" s="51"/>
      <c r="C126" s="56"/>
      <c r="D126" s="521"/>
      <c r="E126" s="521"/>
      <c r="F126" s="521"/>
      <c r="G126" s="438"/>
      <c r="H126" s="521"/>
      <c r="I126" s="521"/>
    </row>
    <row r="127" spans="1:9" x14ac:dyDescent="0.25">
      <c r="A127" s="469"/>
      <c r="B127" s="440" t="s">
        <v>436</v>
      </c>
      <c r="C127" s="441"/>
      <c r="D127" s="523"/>
      <c r="E127" s="523"/>
      <c r="F127" s="523">
        <f>SUM(F125:F126)</f>
        <v>0</v>
      </c>
      <c r="G127" s="443"/>
      <c r="H127" s="524">
        <f>D127-F127</f>
        <v>0</v>
      </c>
      <c r="I127" s="523"/>
    </row>
    <row r="128" spans="1:9" ht="30" customHeight="1" x14ac:dyDescent="0.25">
      <c r="A128" s="124" t="s">
        <v>135</v>
      </c>
      <c r="B128" s="51" t="s">
        <v>136</v>
      </c>
      <c r="C128" s="56">
        <v>10000</v>
      </c>
      <c r="D128" s="521"/>
      <c r="E128" s="521"/>
      <c r="F128" s="521"/>
      <c r="G128" s="438"/>
      <c r="H128" s="521"/>
      <c r="I128" s="521"/>
    </row>
    <row r="129" spans="1:9" ht="64.5" customHeight="1" x14ac:dyDescent="0.25">
      <c r="A129" s="124"/>
      <c r="B129" s="51"/>
      <c r="C129" s="56"/>
      <c r="D129" s="521"/>
      <c r="E129" s="521"/>
      <c r="F129" s="521"/>
      <c r="G129" s="438"/>
      <c r="H129" s="521"/>
      <c r="I129" s="521"/>
    </row>
    <row r="130" spans="1:9" x14ac:dyDescent="0.25">
      <c r="A130" s="124"/>
      <c r="B130" s="51"/>
      <c r="C130" s="56"/>
      <c r="D130" s="521"/>
      <c r="E130" s="521"/>
      <c r="F130" s="521"/>
      <c r="G130" s="438"/>
      <c r="H130" s="521"/>
      <c r="I130" s="521"/>
    </row>
    <row r="131" spans="1:9" x14ac:dyDescent="0.25">
      <c r="A131" s="469"/>
      <c r="B131" s="440" t="s">
        <v>437</v>
      </c>
      <c r="C131" s="441"/>
      <c r="D131" s="523"/>
      <c r="E131" s="523"/>
      <c r="F131" s="523">
        <f>SUM(F129:F130)</f>
        <v>0</v>
      </c>
      <c r="G131" s="443"/>
      <c r="H131" s="524">
        <f>D131-F131</f>
        <v>0</v>
      </c>
      <c r="I131" s="523"/>
    </row>
    <row r="132" spans="1:9" x14ac:dyDescent="0.25">
      <c r="A132" s="124" t="s">
        <v>139</v>
      </c>
      <c r="B132" s="51" t="s">
        <v>77</v>
      </c>
      <c r="C132" s="56">
        <v>1000</v>
      </c>
      <c r="D132" s="521"/>
      <c r="E132" s="521"/>
      <c r="F132" s="521"/>
      <c r="G132" s="438"/>
      <c r="H132" s="521"/>
      <c r="I132" s="521"/>
    </row>
    <row r="133" spans="1:9" ht="53.25" customHeight="1" x14ac:dyDescent="0.25">
      <c r="A133" s="124"/>
      <c r="B133" s="51"/>
      <c r="C133" s="56"/>
      <c r="D133" s="521"/>
      <c r="E133" s="521"/>
      <c r="F133" s="521"/>
      <c r="G133" s="438"/>
      <c r="H133" s="521"/>
      <c r="I133" s="521"/>
    </row>
    <row r="134" spans="1:9" ht="61.5" customHeight="1" x14ac:dyDescent="0.25">
      <c r="A134" s="124"/>
      <c r="B134" s="51"/>
      <c r="C134" s="56"/>
      <c r="D134" s="521"/>
      <c r="E134" s="521"/>
      <c r="F134" s="521"/>
      <c r="G134" s="438"/>
      <c r="H134" s="521"/>
      <c r="I134" s="521"/>
    </row>
    <row r="135" spans="1:9" x14ac:dyDescent="0.25">
      <c r="A135" s="124"/>
      <c r="B135" s="51"/>
      <c r="C135" s="56"/>
      <c r="D135" s="521"/>
      <c r="E135" s="521"/>
      <c r="F135" s="521"/>
      <c r="G135" s="438"/>
      <c r="H135" s="521"/>
      <c r="I135" s="521"/>
    </row>
    <row r="136" spans="1:9" x14ac:dyDescent="0.25">
      <c r="A136" s="469"/>
      <c r="B136" s="440" t="s">
        <v>438</v>
      </c>
      <c r="C136" s="441"/>
      <c r="D136" s="523"/>
      <c r="E136" s="523"/>
      <c r="F136" s="523">
        <f>SUM(F133:F135)</f>
        <v>0</v>
      </c>
      <c r="G136" s="443"/>
      <c r="H136" s="524">
        <f>D136-F136</f>
        <v>0</v>
      </c>
      <c r="I136" s="523"/>
    </row>
    <row r="137" spans="1:9" x14ac:dyDescent="0.25">
      <c r="A137" s="94"/>
      <c r="B137" s="457" t="s">
        <v>141</v>
      </c>
      <c r="C137" s="97">
        <f>SUM(C120:C132)</f>
        <v>22480</v>
      </c>
      <c r="D137" s="528">
        <f>SUM(D136,D131,D127,D123)</f>
        <v>0</v>
      </c>
      <c r="E137" s="528"/>
      <c r="F137" s="528">
        <f>SUM(F136,F131,F127,F123)</f>
        <v>0</v>
      </c>
      <c r="G137" s="455"/>
      <c r="H137" s="529">
        <f>D137-F137</f>
        <v>0</v>
      </c>
      <c r="I137" s="528"/>
    </row>
    <row r="138" spans="1:9" ht="25.5" x14ac:dyDescent="0.25">
      <c r="A138" s="445">
        <v>2.4</v>
      </c>
      <c r="B138" s="452" t="s">
        <v>142</v>
      </c>
      <c r="C138" s="363"/>
      <c r="D138" s="525"/>
      <c r="E138" s="525"/>
      <c r="F138" s="525"/>
      <c r="G138" s="447"/>
      <c r="H138" s="525"/>
      <c r="I138" s="525"/>
    </row>
    <row r="139" spans="1:9" x14ac:dyDescent="0.25">
      <c r="A139" s="124" t="s">
        <v>143</v>
      </c>
      <c r="B139" s="51" t="s">
        <v>121</v>
      </c>
      <c r="C139" s="56">
        <v>5000</v>
      </c>
      <c r="D139" s="521"/>
      <c r="E139" s="521"/>
      <c r="F139" s="521"/>
      <c r="G139" s="438"/>
      <c r="H139" s="521"/>
      <c r="I139" s="521"/>
    </row>
    <row r="140" spans="1:9" ht="54" customHeight="1" x14ac:dyDescent="0.25">
      <c r="A140" s="124"/>
      <c r="B140" s="51"/>
      <c r="C140" s="56"/>
      <c r="D140" s="521"/>
      <c r="E140" s="521"/>
      <c r="F140" s="521"/>
      <c r="G140" s="438"/>
      <c r="H140" s="521"/>
      <c r="I140" s="521"/>
    </row>
    <row r="141" spans="1:9" x14ac:dyDescent="0.25">
      <c r="A141" s="124"/>
      <c r="B141" s="51"/>
      <c r="C141" s="56"/>
      <c r="D141" s="521"/>
      <c r="E141" s="521"/>
      <c r="F141" s="521"/>
      <c r="G141" s="438"/>
      <c r="H141" s="521"/>
      <c r="I141" s="521"/>
    </row>
    <row r="142" spans="1:9" x14ac:dyDescent="0.25">
      <c r="A142" s="469"/>
      <c r="B142" s="440" t="s">
        <v>443</v>
      </c>
      <c r="C142" s="441"/>
      <c r="D142" s="523">
        <v>2500</v>
      </c>
      <c r="E142" s="523"/>
      <c r="F142" s="523">
        <f>SUM(F140:F141)</f>
        <v>0</v>
      </c>
      <c r="G142" s="443"/>
      <c r="H142" s="524">
        <f>D142-F142</f>
        <v>2500</v>
      </c>
      <c r="I142" s="523"/>
    </row>
    <row r="143" spans="1:9" x14ac:dyDescent="0.25">
      <c r="A143" s="124" t="s">
        <v>144</v>
      </c>
      <c r="B143" s="51" t="s">
        <v>145</v>
      </c>
      <c r="C143" s="56">
        <v>9840</v>
      </c>
      <c r="D143" s="521"/>
      <c r="E143" s="521"/>
      <c r="F143" s="521"/>
      <c r="G143" s="438"/>
      <c r="H143" s="521"/>
      <c r="I143" s="521"/>
    </row>
    <row r="144" spans="1:9" ht="68.25" customHeight="1" x14ac:dyDescent="0.25">
      <c r="A144" s="124"/>
      <c r="B144" s="51"/>
      <c r="C144" s="56"/>
      <c r="D144" s="521"/>
      <c r="E144" s="521"/>
      <c r="F144" s="521"/>
      <c r="G144" s="438"/>
      <c r="H144" s="521"/>
      <c r="I144" s="521"/>
    </row>
    <row r="145" spans="1:9" x14ac:dyDescent="0.25">
      <c r="A145" s="124"/>
      <c r="B145" s="51"/>
      <c r="C145" s="56"/>
      <c r="D145" s="521"/>
      <c r="E145" s="521"/>
      <c r="F145" s="521"/>
      <c r="G145" s="438"/>
      <c r="H145" s="521"/>
      <c r="I145" s="521"/>
    </row>
    <row r="146" spans="1:9" x14ac:dyDescent="0.25">
      <c r="A146" s="469"/>
      <c r="B146" s="440" t="s">
        <v>445</v>
      </c>
      <c r="C146" s="441"/>
      <c r="D146" s="523">
        <v>4920</v>
      </c>
      <c r="E146" s="523"/>
      <c r="F146" s="523">
        <f>SUM(F144:F145)</f>
        <v>0</v>
      </c>
      <c r="G146" s="443"/>
      <c r="H146" s="524">
        <f>D146-F146</f>
        <v>4920</v>
      </c>
      <c r="I146" s="523"/>
    </row>
    <row r="147" spans="1:9" ht="25.5" x14ac:dyDescent="0.25">
      <c r="A147" s="124" t="s">
        <v>146</v>
      </c>
      <c r="B147" s="51" t="s">
        <v>147</v>
      </c>
      <c r="C147" s="56">
        <v>10000</v>
      </c>
      <c r="D147" s="521"/>
      <c r="E147" s="521"/>
      <c r="F147" s="521"/>
      <c r="G147" s="438"/>
      <c r="H147" s="521"/>
      <c r="I147" s="521"/>
    </row>
    <row r="148" spans="1:9" ht="69" customHeight="1" x14ac:dyDescent="0.25">
      <c r="A148" s="124"/>
      <c r="B148" s="51"/>
      <c r="C148" s="56"/>
      <c r="D148" s="521"/>
      <c r="E148" s="521"/>
      <c r="F148" s="521"/>
      <c r="G148" s="438"/>
      <c r="H148" s="521"/>
      <c r="I148" s="521"/>
    </row>
    <row r="149" spans="1:9" x14ac:dyDescent="0.25">
      <c r="A149" s="124"/>
      <c r="B149" s="51"/>
      <c r="C149" s="56"/>
      <c r="D149" s="521"/>
      <c r="E149" s="521"/>
      <c r="F149" s="521"/>
      <c r="G149" s="438"/>
      <c r="H149" s="521"/>
      <c r="I149" s="521"/>
    </row>
    <row r="150" spans="1:9" x14ac:dyDescent="0.25">
      <c r="A150" s="469"/>
      <c r="B150" s="440" t="s">
        <v>446</v>
      </c>
      <c r="C150" s="441"/>
      <c r="D150" s="523">
        <v>5000</v>
      </c>
      <c r="E150" s="523"/>
      <c r="F150" s="523">
        <f>SUM(F148:F149)</f>
        <v>0</v>
      </c>
      <c r="G150" s="443"/>
      <c r="H150" s="524">
        <f>D150-F150</f>
        <v>5000</v>
      </c>
      <c r="I150" s="523"/>
    </row>
    <row r="151" spans="1:9" x14ac:dyDescent="0.25">
      <c r="A151" s="124" t="s">
        <v>148</v>
      </c>
      <c r="B151" s="51" t="s">
        <v>77</v>
      </c>
      <c r="C151" s="56">
        <v>1000</v>
      </c>
      <c r="D151" s="521"/>
      <c r="E151" s="521"/>
      <c r="F151" s="521"/>
      <c r="G151" s="438"/>
      <c r="H151" s="521"/>
      <c r="I151" s="521"/>
    </row>
    <row r="152" spans="1:9" ht="84" customHeight="1" x14ac:dyDescent="0.25">
      <c r="A152" s="124"/>
      <c r="B152" s="51"/>
      <c r="C152" s="56"/>
      <c r="D152" s="521"/>
      <c r="E152" s="521"/>
      <c r="F152" s="521"/>
      <c r="G152" s="438"/>
      <c r="H152" s="521"/>
      <c r="I152" s="521"/>
    </row>
    <row r="153" spans="1:9" ht="25.5" x14ac:dyDescent="0.25">
      <c r="A153" s="469"/>
      <c r="B153" s="440" t="s">
        <v>449</v>
      </c>
      <c r="C153" s="441"/>
      <c r="D153" s="523">
        <v>500</v>
      </c>
      <c r="E153" s="523"/>
      <c r="F153" s="523">
        <f>SUM(F152:F152)</f>
        <v>0</v>
      </c>
      <c r="G153" s="443"/>
      <c r="H153" s="524">
        <f>D153-F153</f>
        <v>500</v>
      </c>
      <c r="I153" s="523"/>
    </row>
    <row r="154" spans="1:9" x14ac:dyDescent="0.25">
      <c r="A154" s="94"/>
      <c r="B154" s="457" t="s">
        <v>149</v>
      </c>
      <c r="C154" s="97">
        <f>SUM(C139:C151)</f>
        <v>25840</v>
      </c>
      <c r="D154" s="528">
        <f>SUM(D153,D150,D146,D142)</f>
        <v>12920</v>
      </c>
      <c r="E154" s="528"/>
      <c r="F154" s="528">
        <f>SUM(F153,F150,F146,F142)</f>
        <v>0</v>
      </c>
      <c r="G154" s="455"/>
      <c r="H154" s="529">
        <f>D154-F154</f>
        <v>12920</v>
      </c>
      <c r="I154" s="528"/>
    </row>
    <row r="155" spans="1:9" ht="38.25" x14ac:dyDescent="0.25">
      <c r="A155" s="445">
        <v>2.5</v>
      </c>
      <c r="B155" s="452" t="s">
        <v>150</v>
      </c>
      <c r="C155" s="363"/>
      <c r="D155" s="525"/>
      <c r="E155" s="525"/>
      <c r="F155" s="525"/>
      <c r="G155" s="447"/>
      <c r="H155" s="525"/>
      <c r="I155" s="525"/>
    </row>
    <row r="156" spans="1:9" ht="29.25" customHeight="1" x14ac:dyDescent="0.25">
      <c r="A156" s="124" t="s">
        <v>151</v>
      </c>
      <c r="B156" s="51" t="s">
        <v>152</v>
      </c>
      <c r="C156" s="56">
        <v>0</v>
      </c>
      <c r="D156" s="521"/>
      <c r="E156" s="521"/>
      <c r="F156" s="521"/>
      <c r="G156" s="438"/>
      <c r="H156" s="521"/>
      <c r="I156" s="521"/>
    </row>
    <row r="157" spans="1:9" ht="42.75" customHeight="1" x14ac:dyDescent="0.25">
      <c r="A157" s="124"/>
      <c r="B157" s="51"/>
      <c r="C157" s="56"/>
      <c r="D157" s="521"/>
      <c r="E157" s="521"/>
      <c r="F157" s="521"/>
      <c r="G157" s="438"/>
      <c r="H157" s="521"/>
      <c r="I157" s="521"/>
    </row>
    <row r="158" spans="1:9" x14ac:dyDescent="0.25">
      <c r="A158" s="124"/>
      <c r="B158" s="51"/>
      <c r="C158" s="56"/>
      <c r="D158" s="521"/>
      <c r="E158" s="521"/>
      <c r="F158" s="521"/>
      <c r="G158" s="438"/>
      <c r="H158" s="521"/>
      <c r="I158" s="521"/>
    </row>
    <row r="159" spans="1:9" x14ac:dyDescent="0.25">
      <c r="A159" s="469"/>
      <c r="B159" s="440" t="s">
        <v>450</v>
      </c>
      <c r="C159" s="441"/>
      <c r="D159" s="523">
        <v>0</v>
      </c>
      <c r="E159" s="523"/>
      <c r="F159" s="523">
        <f>SUM(F157:F158)</f>
        <v>0</v>
      </c>
      <c r="G159" s="443"/>
      <c r="H159" s="524">
        <f>D159-F159</f>
        <v>0</v>
      </c>
      <c r="I159" s="523"/>
    </row>
    <row r="160" spans="1:9" ht="33" customHeight="1" x14ac:dyDescent="0.25">
      <c r="A160" s="124" t="s">
        <v>153</v>
      </c>
      <c r="B160" s="51" t="s">
        <v>154</v>
      </c>
      <c r="C160" s="56">
        <v>14760</v>
      </c>
      <c r="D160" s="521"/>
      <c r="E160" s="521"/>
      <c r="F160" s="521"/>
      <c r="G160" s="438"/>
      <c r="H160" s="521"/>
      <c r="I160" s="521"/>
    </row>
    <row r="161" spans="1:9" ht="52.5" customHeight="1" x14ac:dyDescent="0.25">
      <c r="A161" s="124"/>
      <c r="B161" s="51"/>
      <c r="C161" s="56"/>
      <c r="D161" s="521"/>
      <c r="E161" s="521"/>
      <c r="F161" s="521"/>
      <c r="G161" s="438"/>
      <c r="H161" s="521"/>
      <c r="I161" s="521"/>
    </row>
    <row r="162" spans="1:9" x14ac:dyDescent="0.25">
      <c r="A162" s="124"/>
      <c r="B162" s="51"/>
      <c r="C162" s="56"/>
      <c r="D162" s="521"/>
      <c r="E162" s="521"/>
      <c r="F162" s="521"/>
      <c r="G162" s="438"/>
      <c r="H162" s="521"/>
      <c r="I162" s="521"/>
    </row>
    <row r="163" spans="1:9" x14ac:dyDescent="0.25">
      <c r="A163" s="469"/>
      <c r="B163" s="440" t="s">
        <v>453</v>
      </c>
      <c r="C163" s="441"/>
      <c r="D163" s="523">
        <v>4920</v>
      </c>
      <c r="E163" s="523"/>
      <c r="F163" s="523">
        <f>SUM(F161:F162)</f>
        <v>0</v>
      </c>
      <c r="G163" s="443"/>
      <c r="H163" s="524">
        <f>D163-F163</f>
        <v>4920</v>
      </c>
      <c r="I163" s="523"/>
    </row>
    <row r="164" spans="1:9" ht="25.5" x14ac:dyDescent="0.25">
      <c r="A164" s="124" t="s">
        <v>156</v>
      </c>
      <c r="B164" s="51" t="s">
        <v>157</v>
      </c>
      <c r="C164" s="56">
        <v>15000</v>
      </c>
      <c r="D164" s="521"/>
      <c r="E164" s="521"/>
      <c r="F164" s="521"/>
      <c r="G164" s="438"/>
      <c r="H164" s="521"/>
      <c r="I164" s="521"/>
    </row>
    <row r="165" spans="1:9" ht="68.25" customHeight="1" x14ac:dyDescent="0.25">
      <c r="A165" s="124"/>
      <c r="B165" s="51"/>
      <c r="C165" s="56"/>
      <c r="D165" s="521"/>
      <c r="E165" s="521"/>
      <c r="F165" s="521"/>
      <c r="G165" s="438"/>
      <c r="H165" s="521"/>
      <c r="I165" s="521"/>
    </row>
    <row r="166" spans="1:9" x14ac:dyDescent="0.25">
      <c r="A166" s="124"/>
      <c r="B166" s="51"/>
      <c r="C166" s="56"/>
      <c r="D166" s="521"/>
      <c r="E166" s="521"/>
      <c r="F166" s="521"/>
      <c r="G166" s="438"/>
      <c r="H166" s="521"/>
      <c r="I166" s="521"/>
    </row>
    <row r="167" spans="1:9" x14ac:dyDescent="0.25">
      <c r="A167" s="469"/>
      <c r="B167" s="440" t="s">
        <v>457</v>
      </c>
      <c r="C167" s="441"/>
      <c r="D167" s="523">
        <v>5000</v>
      </c>
      <c r="E167" s="523"/>
      <c r="F167" s="523">
        <f>SUM(F165:F166)</f>
        <v>0</v>
      </c>
      <c r="G167" s="443"/>
      <c r="H167" s="524">
        <f>D167-F167</f>
        <v>5000</v>
      </c>
      <c r="I167" s="523"/>
    </row>
    <row r="168" spans="1:9" x14ac:dyDescent="0.25">
      <c r="A168" s="124" t="s">
        <v>159</v>
      </c>
      <c r="B168" s="51" t="s">
        <v>160</v>
      </c>
      <c r="C168" s="56">
        <v>1500</v>
      </c>
      <c r="D168" s="521"/>
      <c r="E168" s="521"/>
      <c r="F168" s="521"/>
      <c r="G168" s="438"/>
      <c r="H168" s="521"/>
      <c r="I168" s="521"/>
    </row>
    <row r="169" spans="1:9" x14ac:dyDescent="0.25">
      <c r="A169" s="124"/>
      <c r="B169" s="51"/>
      <c r="C169" s="56"/>
      <c r="D169" s="521"/>
      <c r="E169" s="521"/>
      <c r="F169" s="521"/>
      <c r="G169" s="438"/>
      <c r="H169" s="521"/>
      <c r="I169" s="521"/>
    </row>
    <row r="170" spans="1:9" x14ac:dyDescent="0.25">
      <c r="A170" s="469"/>
      <c r="B170" s="440" t="s">
        <v>459</v>
      </c>
      <c r="C170" s="441"/>
      <c r="D170" s="523">
        <v>500</v>
      </c>
      <c r="E170" s="523"/>
      <c r="F170" s="523">
        <f>F169</f>
        <v>0</v>
      </c>
      <c r="G170" s="443"/>
      <c r="H170" s="524">
        <f>D170-F170</f>
        <v>500</v>
      </c>
      <c r="I170" s="523"/>
    </row>
    <row r="171" spans="1:9" x14ac:dyDescent="0.25">
      <c r="A171" s="94"/>
      <c r="B171" s="457" t="s">
        <v>162</v>
      </c>
      <c r="C171" s="97">
        <f>SUM(C156:C168)</f>
        <v>31260</v>
      </c>
      <c r="D171" s="528">
        <f>SUM(D170,D167,D163,D159)</f>
        <v>10420</v>
      </c>
      <c r="E171" s="528"/>
      <c r="F171" s="528">
        <f>SUM(F170,F167,F163,F159)</f>
        <v>0</v>
      </c>
      <c r="G171" s="455"/>
      <c r="H171" s="529">
        <f>D171-F171</f>
        <v>10420</v>
      </c>
      <c r="I171" s="528"/>
    </row>
    <row r="172" spans="1:9" x14ac:dyDescent="0.25">
      <c r="A172" s="445">
        <v>2.6</v>
      </c>
      <c r="B172" s="452" t="s">
        <v>163</v>
      </c>
      <c r="C172" s="363"/>
      <c r="D172" s="525"/>
      <c r="E172" s="525"/>
      <c r="F172" s="525"/>
      <c r="G172" s="447"/>
      <c r="H172" s="525"/>
      <c r="I172" s="525"/>
    </row>
    <row r="173" spans="1:9" x14ac:dyDescent="0.25">
      <c r="A173" s="124" t="s">
        <v>164</v>
      </c>
      <c r="B173" s="51" t="s">
        <v>165</v>
      </c>
      <c r="C173" s="56">
        <v>7200</v>
      </c>
      <c r="D173" s="521"/>
      <c r="E173" s="521"/>
      <c r="F173" s="521"/>
      <c r="G173" s="438"/>
      <c r="H173" s="521"/>
      <c r="I173" s="521"/>
    </row>
    <row r="174" spans="1:9" x14ac:dyDescent="0.25">
      <c r="A174" s="124"/>
      <c r="B174" s="51"/>
      <c r="C174" s="56"/>
      <c r="D174" s="521"/>
      <c r="E174" s="521"/>
      <c r="F174" s="521"/>
      <c r="G174" s="438"/>
      <c r="H174" s="521"/>
      <c r="I174" s="521"/>
    </row>
    <row r="175" spans="1:9" x14ac:dyDescent="0.25">
      <c r="A175" s="124"/>
      <c r="B175" s="51"/>
      <c r="C175" s="56"/>
      <c r="D175" s="521"/>
      <c r="E175" s="521"/>
      <c r="F175" s="521"/>
      <c r="G175" s="438"/>
      <c r="H175" s="521"/>
      <c r="I175" s="521"/>
    </row>
    <row r="176" spans="1:9" x14ac:dyDescent="0.25">
      <c r="A176" s="124"/>
      <c r="B176" s="51"/>
      <c r="C176" s="56"/>
      <c r="D176" s="521"/>
      <c r="E176" s="521"/>
      <c r="F176" s="521"/>
      <c r="G176" s="438"/>
      <c r="H176" s="521"/>
      <c r="I176" s="521"/>
    </row>
    <row r="177" spans="1:9" x14ac:dyDescent="0.25">
      <c r="A177" s="469"/>
      <c r="B177" s="440" t="s">
        <v>460</v>
      </c>
      <c r="C177" s="441"/>
      <c r="D177" s="523">
        <v>0</v>
      </c>
      <c r="E177" s="523"/>
      <c r="F177" s="523">
        <f>SUM(F174:F176)</f>
        <v>0</v>
      </c>
      <c r="G177" s="443"/>
      <c r="H177" s="524">
        <f>D177-F177</f>
        <v>0</v>
      </c>
      <c r="I177" s="523"/>
    </row>
    <row r="178" spans="1:9" ht="30.75" customHeight="1" x14ac:dyDescent="0.25">
      <c r="A178" s="124" t="s">
        <v>167</v>
      </c>
      <c r="B178" s="130" t="s">
        <v>168</v>
      </c>
      <c r="C178" s="56">
        <v>174800</v>
      </c>
      <c r="D178" s="521"/>
      <c r="E178" s="521"/>
      <c r="F178" s="521"/>
      <c r="G178" s="438"/>
      <c r="H178" s="521"/>
      <c r="I178" s="521"/>
    </row>
    <row r="179" spans="1:9" ht="55.5" customHeight="1" x14ac:dyDescent="0.25">
      <c r="A179" s="124"/>
      <c r="B179" s="130"/>
      <c r="C179" s="56"/>
      <c r="D179" s="521"/>
      <c r="E179" s="521"/>
      <c r="F179" s="521"/>
      <c r="G179" s="438"/>
      <c r="H179" s="521"/>
      <c r="I179" s="521"/>
    </row>
    <row r="180" spans="1:9" x14ac:dyDescent="0.25">
      <c r="A180" s="124"/>
      <c r="B180" s="130"/>
      <c r="C180" s="56"/>
      <c r="D180" s="521"/>
      <c r="E180" s="521"/>
      <c r="F180" s="521"/>
      <c r="G180" s="438"/>
      <c r="H180" s="521"/>
      <c r="I180" s="521"/>
    </row>
    <row r="181" spans="1:9" x14ac:dyDescent="0.25">
      <c r="A181" s="124"/>
      <c r="B181" s="130"/>
      <c r="C181" s="56"/>
      <c r="D181" s="521"/>
      <c r="E181" s="521"/>
      <c r="F181" s="521"/>
      <c r="G181" s="438"/>
      <c r="H181" s="521"/>
      <c r="I181" s="521"/>
    </row>
    <row r="182" spans="1:9" x14ac:dyDescent="0.25">
      <c r="A182" s="469"/>
      <c r="B182" s="470" t="s">
        <v>461</v>
      </c>
      <c r="C182" s="441"/>
      <c r="D182" s="523">
        <v>0</v>
      </c>
      <c r="E182" s="523"/>
      <c r="F182" s="523">
        <f>SUM(F179:F181)</f>
        <v>0</v>
      </c>
      <c r="G182" s="443"/>
      <c r="H182" s="524">
        <f>D182-F182</f>
        <v>0</v>
      </c>
      <c r="I182" s="523"/>
    </row>
    <row r="183" spans="1:9" x14ac:dyDescent="0.25">
      <c r="A183" s="94"/>
      <c r="B183" s="457" t="s">
        <v>170</v>
      </c>
      <c r="C183" s="97">
        <f>SUM(C173:C178)</f>
        <v>182000</v>
      </c>
      <c r="D183" s="528">
        <f>SUM(D182,D177)</f>
        <v>0</v>
      </c>
      <c r="E183" s="528"/>
      <c r="F183" s="528">
        <f>SUM(F182,F177)</f>
        <v>0</v>
      </c>
      <c r="G183" s="455"/>
      <c r="H183" s="529">
        <f>D183-F183</f>
        <v>0</v>
      </c>
      <c r="I183" s="528"/>
    </row>
    <row r="184" spans="1:9" x14ac:dyDescent="0.25">
      <c r="A184" s="445">
        <v>2.7</v>
      </c>
      <c r="B184" s="452" t="s">
        <v>171</v>
      </c>
      <c r="C184" s="366"/>
      <c r="D184" s="525"/>
      <c r="E184" s="525"/>
      <c r="F184" s="525"/>
      <c r="G184" s="447"/>
      <c r="H184" s="525"/>
      <c r="I184" s="525"/>
    </row>
    <row r="185" spans="1:9" ht="38.25" x14ac:dyDescent="0.25">
      <c r="A185" s="124" t="s">
        <v>172</v>
      </c>
      <c r="B185" s="51" t="s">
        <v>173</v>
      </c>
      <c r="C185" s="56">
        <v>0</v>
      </c>
      <c r="D185" s="521"/>
      <c r="E185" s="521"/>
      <c r="F185" s="521"/>
      <c r="G185" s="438"/>
      <c r="H185" s="521"/>
      <c r="I185" s="521"/>
    </row>
    <row r="186" spans="1:9" x14ac:dyDescent="0.25">
      <c r="A186" s="124"/>
      <c r="B186" s="51"/>
      <c r="C186" s="56"/>
      <c r="D186" s="521"/>
      <c r="E186" s="521"/>
      <c r="F186" s="521"/>
      <c r="G186" s="438"/>
      <c r="H186" s="521"/>
      <c r="I186" s="521"/>
    </row>
    <row r="187" spans="1:9" x14ac:dyDescent="0.25">
      <c r="A187" s="124"/>
      <c r="B187" s="51"/>
      <c r="C187" s="56"/>
      <c r="D187" s="521"/>
      <c r="E187" s="521"/>
      <c r="F187" s="521"/>
      <c r="G187" s="438"/>
      <c r="H187" s="521"/>
      <c r="I187" s="521"/>
    </row>
    <row r="188" spans="1:9" x14ac:dyDescent="0.25">
      <c r="A188" s="124"/>
      <c r="B188" s="51"/>
      <c r="C188" s="56"/>
      <c r="D188" s="521"/>
      <c r="E188" s="521"/>
      <c r="F188" s="521"/>
      <c r="G188" s="438"/>
      <c r="H188" s="521"/>
      <c r="I188" s="521"/>
    </row>
    <row r="189" spans="1:9" x14ac:dyDescent="0.25">
      <c r="A189" s="124"/>
      <c r="B189" s="51"/>
      <c r="C189" s="56"/>
      <c r="D189" s="521"/>
      <c r="E189" s="521"/>
      <c r="F189" s="521"/>
      <c r="G189" s="438"/>
      <c r="H189" s="521"/>
      <c r="I189" s="521"/>
    </row>
    <row r="190" spans="1:9" x14ac:dyDescent="0.25">
      <c r="A190" s="124"/>
      <c r="B190" s="51"/>
      <c r="C190" s="56"/>
      <c r="D190" s="521"/>
      <c r="E190" s="521"/>
      <c r="F190" s="521"/>
      <c r="G190" s="438"/>
      <c r="H190" s="521"/>
      <c r="I190" s="521"/>
    </row>
    <row r="191" spans="1:9" x14ac:dyDescent="0.25">
      <c r="A191" s="469"/>
      <c r="B191" s="440" t="s">
        <v>462</v>
      </c>
      <c r="C191" s="441"/>
      <c r="D191" s="523">
        <v>0</v>
      </c>
      <c r="E191" s="523"/>
      <c r="F191" s="523">
        <f>SUM(F186:F190)</f>
        <v>0</v>
      </c>
      <c r="G191" s="443"/>
      <c r="H191" s="524">
        <f>D191-F191</f>
        <v>0</v>
      </c>
      <c r="I191" s="523"/>
    </row>
    <row r="192" spans="1:9" x14ac:dyDescent="0.25">
      <c r="A192" s="124" t="s">
        <v>174</v>
      </c>
      <c r="B192" s="51" t="s">
        <v>175</v>
      </c>
      <c r="C192" s="56">
        <v>0</v>
      </c>
      <c r="D192" s="521"/>
      <c r="E192" s="521"/>
      <c r="F192" s="521"/>
      <c r="G192" s="438"/>
      <c r="H192" s="521"/>
      <c r="I192" s="521"/>
    </row>
    <row r="193" spans="1:9" x14ac:dyDescent="0.25">
      <c r="A193" s="124"/>
      <c r="B193" s="51"/>
      <c r="C193" s="56"/>
      <c r="D193" s="521"/>
      <c r="E193" s="521"/>
      <c r="F193" s="521"/>
      <c r="G193" s="438"/>
      <c r="H193" s="521"/>
      <c r="I193" s="521"/>
    </row>
    <row r="194" spans="1:9" x14ac:dyDescent="0.25">
      <c r="A194" s="124"/>
      <c r="B194" s="51"/>
      <c r="C194" s="56"/>
      <c r="D194" s="521"/>
      <c r="E194" s="521"/>
      <c r="F194" s="521"/>
      <c r="G194" s="438"/>
      <c r="H194" s="521"/>
      <c r="I194" s="521"/>
    </row>
    <row r="195" spans="1:9" x14ac:dyDescent="0.25">
      <c r="A195" s="124"/>
      <c r="B195" s="51"/>
      <c r="C195" s="56"/>
      <c r="D195" s="521"/>
      <c r="E195" s="521"/>
      <c r="F195" s="521"/>
      <c r="G195" s="438"/>
      <c r="H195" s="521"/>
      <c r="I195" s="521"/>
    </row>
    <row r="196" spans="1:9" x14ac:dyDescent="0.25">
      <c r="A196" s="124"/>
      <c r="B196" s="51"/>
      <c r="C196" s="56"/>
      <c r="D196" s="521"/>
      <c r="E196" s="521"/>
      <c r="F196" s="521"/>
      <c r="G196" s="438"/>
      <c r="H196" s="521"/>
      <c r="I196" s="521"/>
    </row>
    <row r="197" spans="1:9" x14ac:dyDescent="0.25">
      <c r="A197" s="469"/>
      <c r="B197" s="440" t="s">
        <v>463</v>
      </c>
      <c r="C197" s="441"/>
      <c r="D197" s="523">
        <v>0</v>
      </c>
      <c r="E197" s="523"/>
      <c r="F197" s="523">
        <f>SUM(F193:F196)</f>
        <v>0</v>
      </c>
      <c r="G197" s="443"/>
      <c r="H197" s="524">
        <f>D197-F197</f>
        <v>0</v>
      </c>
      <c r="I197" s="523"/>
    </row>
    <row r="198" spans="1:9" x14ac:dyDescent="0.25">
      <c r="A198" s="94"/>
      <c r="B198" s="457" t="s">
        <v>176</v>
      </c>
      <c r="C198" s="97">
        <f>SUM(C185:C192)</f>
        <v>0</v>
      </c>
      <c r="D198" s="528">
        <f>SUM(D197,D191)</f>
        <v>0</v>
      </c>
      <c r="E198" s="528"/>
      <c r="F198" s="528">
        <f>SUM(F197,F191)</f>
        <v>0</v>
      </c>
      <c r="G198" s="455"/>
      <c r="H198" s="529">
        <f>D198-F198</f>
        <v>0</v>
      </c>
      <c r="I198" s="528"/>
    </row>
    <row r="199" spans="1:9" x14ac:dyDescent="0.25">
      <c r="A199" s="445">
        <v>2.8</v>
      </c>
      <c r="B199" s="452" t="s">
        <v>182</v>
      </c>
      <c r="C199" s="363"/>
      <c r="D199" s="525"/>
      <c r="E199" s="525"/>
      <c r="F199" s="525"/>
      <c r="G199" s="447"/>
      <c r="H199" s="525"/>
      <c r="I199" s="525"/>
    </row>
    <row r="200" spans="1:9" ht="38.25" x14ac:dyDescent="0.25">
      <c r="A200" s="90" t="s">
        <v>183</v>
      </c>
      <c r="B200" s="51" t="s">
        <v>189</v>
      </c>
      <c r="C200" s="56">
        <v>4800</v>
      </c>
      <c r="D200" s="521"/>
      <c r="E200" s="521"/>
      <c r="F200" s="521"/>
      <c r="G200" s="438"/>
      <c r="H200" s="521"/>
      <c r="I200" s="521"/>
    </row>
    <row r="201" spans="1:9" ht="53.25" customHeight="1" x14ac:dyDescent="0.25">
      <c r="A201" s="90"/>
      <c r="B201" s="102"/>
      <c r="C201" s="56"/>
      <c r="D201" s="521"/>
      <c r="E201" s="521"/>
      <c r="F201" s="521"/>
      <c r="G201" s="438"/>
      <c r="H201" s="521"/>
      <c r="I201" s="521"/>
    </row>
    <row r="202" spans="1:9" x14ac:dyDescent="0.25">
      <c r="A202" s="90"/>
      <c r="B202" s="102"/>
      <c r="C202" s="56"/>
      <c r="D202" s="521"/>
      <c r="E202" s="521"/>
      <c r="F202" s="521"/>
      <c r="G202" s="438"/>
      <c r="H202" s="521"/>
      <c r="I202" s="521"/>
    </row>
    <row r="203" spans="1:9" x14ac:dyDescent="0.25">
      <c r="A203" s="449"/>
      <c r="B203" s="440" t="s">
        <v>467</v>
      </c>
      <c r="C203" s="441"/>
      <c r="D203" s="523">
        <v>4800</v>
      </c>
      <c r="E203" s="523"/>
      <c r="F203" s="523">
        <f>SUM(F201:F202)</f>
        <v>0</v>
      </c>
      <c r="G203" s="443"/>
      <c r="H203" s="524">
        <f>D203-F203</f>
        <v>4800</v>
      </c>
      <c r="I203" s="523"/>
    </row>
    <row r="204" spans="1:9" x14ac:dyDescent="0.25">
      <c r="A204" s="90" t="s">
        <v>184</v>
      </c>
      <c r="B204" s="102" t="s">
        <v>190</v>
      </c>
      <c r="C204" s="56">
        <v>1500</v>
      </c>
      <c r="D204" s="521"/>
      <c r="E204" s="521"/>
      <c r="F204" s="521"/>
      <c r="G204" s="438"/>
      <c r="H204" s="521"/>
      <c r="I204" s="521"/>
    </row>
    <row r="205" spans="1:9" x14ac:dyDescent="0.25">
      <c r="A205" s="90"/>
      <c r="B205" s="102"/>
      <c r="C205" s="56"/>
      <c r="D205" s="521"/>
      <c r="E205" s="521"/>
      <c r="F205" s="521"/>
      <c r="G205" s="438"/>
      <c r="H205" s="521"/>
      <c r="I205" s="521"/>
    </row>
    <row r="206" spans="1:9" x14ac:dyDescent="0.25">
      <c r="A206" s="90"/>
      <c r="B206" s="102"/>
      <c r="C206" s="56"/>
      <c r="D206" s="521"/>
      <c r="E206" s="521"/>
      <c r="F206" s="521"/>
      <c r="G206" s="438"/>
      <c r="H206" s="521"/>
      <c r="I206" s="521"/>
    </row>
    <row r="207" spans="1:9" x14ac:dyDescent="0.25">
      <c r="A207" s="90"/>
      <c r="B207" s="102"/>
      <c r="C207" s="56"/>
      <c r="D207" s="521"/>
      <c r="E207" s="521"/>
      <c r="F207" s="521"/>
      <c r="G207" s="438"/>
      <c r="H207" s="521"/>
      <c r="I207" s="521"/>
    </row>
    <row r="208" spans="1:9" x14ac:dyDescent="0.25">
      <c r="A208" s="90"/>
      <c r="B208" s="102"/>
      <c r="C208" s="56"/>
      <c r="D208" s="521"/>
      <c r="E208" s="521"/>
      <c r="F208" s="521"/>
      <c r="G208" s="438"/>
      <c r="H208" s="521"/>
      <c r="I208" s="521"/>
    </row>
    <row r="209" spans="1:9" x14ac:dyDescent="0.25">
      <c r="A209" s="449"/>
      <c r="B209" s="440" t="s">
        <v>468</v>
      </c>
      <c r="C209" s="441"/>
      <c r="D209" s="523">
        <v>1500</v>
      </c>
      <c r="E209" s="523"/>
      <c r="F209" s="523">
        <f>SUM(F205:F208)</f>
        <v>0</v>
      </c>
      <c r="G209" s="443"/>
      <c r="H209" s="524">
        <f>D209-F209</f>
        <v>1500</v>
      </c>
      <c r="I209" s="523"/>
    </row>
    <row r="210" spans="1:9" x14ac:dyDescent="0.25">
      <c r="A210" s="94"/>
      <c r="B210" s="457" t="s">
        <v>181</v>
      </c>
      <c r="C210" s="97">
        <f>SUM(C200:C209)</f>
        <v>6300</v>
      </c>
      <c r="D210" s="528">
        <f>D203+D209</f>
        <v>6300</v>
      </c>
      <c r="E210" s="528"/>
      <c r="F210" s="528">
        <f>F203+F209</f>
        <v>0</v>
      </c>
      <c r="G210" s="528"/>
      <c r="H210" s="529">
        <f>D210-F210</f>
        <v>6300</v>
      </c>
      <c r="I210" s="528">
        <f>I203+I209</f>
        <v>0</v>
      </c>
    </row>
    <row r="211" spans="1:9" x14ac:dyDescent="0.25">
      <c r="A211" s="471">
        <v>2.9</v>
      </c>
      <c r="B211" s="452" t="s">
        <v>191</v>
      </c>
      <c r="C211" s="363"/>
      <c r="D211" s="525"/>
      <c r="E211" s="525"/>
      <c r="F211" s="525"/>
      <c r="G211" s="447"/>
      <c r="H211" s="525"/>
      <c r="I211" s="525"/>
    </row>
    <row r="212" spans="1:9" ht="25.5" x14ac:dyDescent="0.25">
      <c r="A212" s="124" t="s">
        <v>192</v>
      </c>
      <c r="B212" s="51" t="s">
        <v>193</v>
      </c>
      <c r="C212" s="56"/>
      <c r="D212" s="521"/>
      <c r="E212" s="521"/>
      <c r="F212" s="521"/>
      <c r="G212" s="438"/>
      <c r="H212" s="521"/>
      <c r="I212" s="521"/>
    </row>
    <row r="213" spans="1:9" x14ac:dyDescent="0.25">
      <c r="A213" s="124"/>
      <c r="B213" s="51"/>
      <c r="C213" s="56"/>
      <c r="D213" s="521"/>
      <c r="E213" s="521"/>
      <c r="F213" s="521"/>
      <c r="G213" s="438"/>
      <c r="H213" s="521"/>
      <c r="I213" s="521"/>
    </row>
    <row r="214" spans="1:9" x14ac:dyDescent="0.25">
      <c r="A214" s="469"/>
      <c r="B214" s="440" t="s">
        <v>469</v>
      </c>
      <c r="C214" s="441"/>
      <c r="D214" s="523"/>
      <c r="E214" s="523"/>
      <c r="F214" s="523">
        <f>SUM(F213:F213)</f>
        <v>0</v>
      </c>
      <c r="G214" s="443"/>
      <c r="H214" s="524">
        <f>D214-F214</f>
        <v>0</v>
      </c>
      <c r="I214" s="523"/>
    </row>
    <row r="215" spans="1:9" x14ac:dyDescent="0.25">
      <c r="A215" s="94"/>
      <c r="B215" s="457" t="s">
        <v>470</v>
      </c>
      <c r="C215" s="97">
        <f>C212</f>
        <v>0</v>
      </c>
      <c r="D215" s="528">
        <f>D214</f>
        <v>0</v>
      </c>
      <c r="E215" s="528"/>
      <c r="F215" s="528">
        <f>F214</f>
        <v>0</v>
      </c>
      <c r="G215" s="455"/>
      <c r="H215" s="529">
        <f>D215-F215</f>
        <v>0</v>
      </c>
      <c r="I215" s="528"/>
    </row>
    <row r="216" spans="1:9" x14ac:dyDescent="0.25">
      <c r="A216" s="472">
        <v>2.1</v>
      </c>
      <c r="B216" s="452" t="s">
        <v>197</v>
      </c>
      <c r="C216" s="363"/>
      <c r="D216" s="525"/>
      <c r="E216" s="525"/>
      <c r="F216" s="525"/>
      <c r="G216" s="447"/>
      <c r="H216" s="525"/>
      <c r="I216" s="525"/>
    </row>
    <row r="217" spans="1:9" ht="25.5" x14ac:dyDescent="0.25">
      <c r="A217" s="124" t="s">
        <v>198</v>
      </c>
      <c r="B217" s="51" t="s">
        <v>199</v>
      </c>
      <c r="C217" s="56">
        <v>0</v>
      </c>
      <c r="D217" s="521"/>
      <c r="E217" s="521"/>
      <c r="F217" s="521"/>
      <c r="G217" s="438"/>
      <c r="H217" s="521"/>
      <c r="I217" s="521"/>
    </row>
    <row r="218" spans="1:9" x14ac:dyDescent="0.25">
      <c r="A218" s="124"/>
      <c r="B218" s="51"/>
      <c r="C218" s="56"/>
      <c r="D218" s="521"/>
      <c r="E218" s="521"/>
      <c r="F218" s="521"/>
      <c r="G218" s="438"/>
      <c r="H218" s="521"/>
      <c r="I218" s="521"/>
    </row>
    <row r="219" spans="1:9" x14ac:dyDescent="0.25">
      <c r="A219" s="469"/>
      <c r="B219" s="440" t="s">
        <v>471</v>
      </c>
      <c r="C219" s="441"/>
      <c r="D219" s="523"/>
      <c r="E219" s="523"/>
      <c r="F219" s="523">
        <f>SUM(F218:F218)</f>
        <v>0</v>
      </c>
      <c r="G219" s="443"/>
      <c r="H219" s="524">
        <f>D219-F219</f>
        <v>0</v>
      </c>
      <c r="I219" s="523"/>
    </row>
    <row r="220" spans="1:9" x14ac:dyDescent="0.25">
      <c r="A220" s="124" t="s">
        <v>194</v>
      </c>
      <c r="B220" s="51" t="s">
        <v>200</v>
      </c>
      <c r="C220" s="56">
        <v>0</v>
      </c>
      <c r="D220" s="521"/>
      <c r="E220" s="521"/>
      <c r="F220" s="521"/>
      <c r="G220" s="438"/>
      <c r="H220" s="521"/>
      <c r="I220" s="521"/>
    </row>
    <row r="221" spans="1:9" x14ac:dyDescent="0.25">
      <c r="A221" s="124"/>
      <c r="B221" s="51"/>
      <c r="C221" s="56"/>
      <c r="D221" s="521"/>
      <c r="E221" s="521"/>
      <c r="F221" s="521"/>
      <c r="G221" s="438"/>
      <c r="H221" s="521"/>
      <c r="I221" s="521"/>
    </row>
    <row r="222" spans="1:9" x14ac:dyDescent="0.25">
      <c r="A222" s="469"/>
      <c r="B222" s="440" t="s">
        <v>601</v>
      </c>
      <c r="C222" s="441"/>
      <c r="D222" s="523"/>
      <c r="E222" s="523"/>
      <c r="F222" s="523">
        <f>SUM(F221:F221)</f>
        <v>0</v>
      </c>
      <c r="G222" s="443"/>
      <c r="H222" s="524">
        <f>D222-F222</f>
        <v>0</v>
      </c>
      <c r="I222" s="523"/>
    </row>
    <row r="223" spans="1:9" x14ac:dyDescent="0.25">
      <c r="A223" s="94"/>
      <c r="B223" s="457" t="s">
        <v>196</v>
      </c>
      <c r="C223" s="97">
        <f>SUM(C217:C222)</f>
        <v>0</v>
      </c>
      <c r="D223" s="528">
        <f>SUM(D219,D222)</f>
        <v>0</v>
      </c>
      <c r="E223" s="528"/>
      <c r="F223" s="528">
        <f>SUM(F219,F222)</f>
        <v>0</v>
      </c>
      <c r="G223" s="455"/>
      <c r="H223" s="529">
        <f>D223-F223</f>
        <v>0</v>
      </c>
      <c r="I223" s="528"/>
    </row>
    <row r="224" spans="1:9" ht="25.5" x14ac:dyDescent="0.25">
      <c r="A224" s="445">
        <v>2.11</v>
      </c>
      <c r="B224" s="452" t="s">
        <v>202</v>
      </c>
      <c r="C224" s="366"/>
      <c r="D224" s="525"/>
      <c r="E224" s="525"/>
      <c r="F224" s="525"/>
      <c r="G224" s="447"/>
      <c r="H224" s="525"/>
      <c r="I224" s="525"/>
    </row>
    <row r="225" spans="1:9" ht="56.25" customHeight="1" x14ac:dyDescent="0.25">
      <c r="A225" s="124" t="s">
        <v>203</v>
      </c>
      <c r="B225" s="51" t="s">
        <v>204</v>
      </c>
      <c r="C225" s="56">
        <v>0</v>
      </c>
      <c r="D225" s="521">
        <v>0</v>
      </c>
      <c r="E225" s="521"/>
      <c r="F225" s="521"/>
      <c r="G225" s="438"/>
      <c r="H225" s="521"/>
      <c r="I225" s="521"/>
    </row>
    <row r="226" spans="1:9" ht="21.75" customHeight="1" x14ac:dyDescent="0.25">
      <c r="A226" s="124"/>
      <c r="B226" s="51"/>
      <c r="C226" s="56"/>
      <c r="D226" s="521"/>
      <c r="E226" s="521"/>
      <c r="F226" s="521"/>
      <c r="G226" s="438"/>
      <c r="H226" s="521"/>
      <c r="I226" s="521"/>
    </row>
    <row r="227" spans="1:9" ht="16.5" customHeight="1" x14ac:dyDescent="0.25">
      <c r="A227" s="469"/>
      <c r="B227" s="440" t="s">
        <v>602</v>
      </c>
      <c r="C227" s="441"/>
      <c r="D227" s="523"/>
      <c r="E227" s="523"/>
      <c r="F227" s="523">
        <f>SUM(F226:F226)</f>
        <v>0</v>
      </c>
      <c r="G227" s="443"/>
      <c r="H227" s="524">
        <f>D227-F227</f>
        <v>0</v>
      </c>
      <c r="I227" s="523"/>
    </row>
    <row r="228" spans="1:9" x14ac:dyDescent="0.25">
      <c r="A228" s="124" t="s">
        <v>206</v>
      </c>
      <c r="B228" s="51" t="s">
        <v>207</v>
      </c>
      <c r="C228" s="56">
        <v>0</v>
      </c>
      <c r="D228" s="521">
        <v>0</v>
      </c>
      <c r="E228" s="521"/>
      <c r="F228" s="521"/>
      <c r="G228" s="438"/>
      <c r="H228" s="521"/>
      <c r="I228" s="521"/>
    </row>
    <row r="229" spans="1:9" x14ac:dyDescent="0.25">
      <c r="A229" s="124"/>
      <c r="B229" s="51"/>
      <c r="C229" s="56"/>
      <c r="D229" s="521"/>
      <c r="E229" s="521"/>
      <c r="F229" s="521"/>
      <c r="G229" s="438"/>
      <c r="H229" s="521"/>
      <c r="I229" s="521"/>
    </row>
    <row r="230" spans="1:9" x14ac:dyDescent="0.25">
      <c r="A230" s="469"/>
      <c r="B230" s="440" t="s">
        <v>603</v>
      </c>
      <c r="C230" s="441"/>
      <c r="D230" s="523"/>
      <c r="E230" s="523"/>
      <c r="F230" s="523">
        <f>SUM(F229:F229)</f>
        <v>0</v>
      </c>
      <c r="G230" s="443"/>
      <c r="H230" s="524">
        <f>D230-F230</f>
        <v>0</v>
      </c>
      <c r="I230" s="523"/>
    </row>
    <row r="231" spans="1:9" x14ac:dyDescent="0.25">
      <c r="A231" s="94"/>
      <c r="B231" s="457" t="s">
        <v>208</v>
      </c>
      <c r="C231" s="97">
        <f>SUM(C225:C228)</f>
        <v>0</v>
      </c>
      <c r="D231" s="528">
        <f>SUM(D225:D228)</f>
        <v>0</v>
      </c>
      <c r="E231" s="528"/>
      <c r="F231" s="528">
        <f>F230+F227</f>
        <v>0</v>
      </c>
      <c r="G231" s="455"/>
      <c r="H231" s="529">
        <f>D231-F231</f>
        <v>0</v>
      </c>
      <c r="I231" s="528"/>
    </row>
    <row r="232" spans="1:9" x14ac:dyDescent="0.25">
      <c r="A232" s="445">
        <v>2.12</v>
      </c>
      <c r="B232" s="473" t="s">
        <v>209</v>
      </c>
      <c r="C232" s="363"/>
      <c r="D232" s="525"/>
      <c r="E232" s="525"/>
      <c r="F232" s="525"/>
      <c r="G232" s="447"/>
      <c r="H232" s="525"/>
      <c r="I232" s="525"/>
    </row>
    <row r="233" spans="1:9" ht="25.5" x14ac:dyDescent="0.25">
      <c r="A233" s="152" t="s">
        <v>210</v>
      </c>
      <c r="B233" s="51" t="s">
        <v>211</v>
      </c>
      <c r="C233" s="56"/>
      <c r="D233" s="521">
        <v>0</v>
      </c>
      <c r="E233" s="521"/>
      <c r="F233" s="521"/>
      <c r="G233" s="438"/>
      <c r="H233" s="521"/>
      <c r="I233" s="521"/>
    </row>
    <row r="234" spans="1:9" x14ac:dyDescent="0.25">
      <c r="A234" s="94"/>
      <c r="B234" s="457" t="s">
        <v>212</v>
      </c>
      <c r="C234" s="97">
        <f>C233</f>
        <v>0</v>
      </c>
      <c r="D234" s="528">
        <f>D233</f>
        <v>0</v>
      </c>
      <c r="E234" s="528"/>
      <c r="F234" s="528">
        <f>F233</f>
        <v>0</v>
      </c>
      <c r="G234" s="455"/>
      <c r="H234" s="529">
        <f>D234-F234</f>
        <v>0</v>
      </c>
      <c r="I234" s="528"/>
    </row>
    <row r="235" spans="1:9" x14ac:dyDescent="0.25">
      <c r="A235" s="359"/>
      <c r="B235" s="462" t="s">
        <v>213</v>
      </c>
      <c r="C235" s="98">
        <f>SUM(C234,C231,C223,C215,C210,C198,C183,C171,C154,C137,C118,C100)</f>
        <v>343400</v>
      </c>
      <c r="D235" s="533">
        <f>SUM(D234,D231,D223,D215,D210,D198,D183,D171,D154,D137,D118,D100)</f>
        <v>42060</v>
      </c>
      <c r="E235" s="533"/>
      <c r="F235" s="533">
        <f>SUM(F234,F231,F223,F215,F210,F198,F183,F171,F154,F137,F118,F100)</f>
        <v>0</v>
      </c>
      <c r="G235" s="464"/>
      <c r="H235" s="534">
        <f>D235-F235</f>
        <v>42060</v>
      </c>
      <c r="I235" s="533"/>
    </row>
    <row r="236" spans="1:9" x14ac:dyDescent="0.25">
      <c r="A236" s="116"/>
      <c r="B236" s="466" t="s">
        <v>214</v>
      </c>
      <c r="C236" s="119"/>
      <c r="D236" s="537"/>
      <c r="E236" s="537"/>
      <c r="F236" s="537"/>
      <c r="G236" s="474"/>
      <c r="H236" s="537"/>
      <c r="I236" s="537"/>
    </row>
    <row r="237" spans="1:9" ht="38.25" x14ac:dyDescent="0.25">
      <c r="A237" s="445">
        <v>3.1</v>
      </c>
      <c r="B237" s="452" t="s">
        <v>215</v>
      </c>
      <c r="C237" s="371"/>
      <c r="D237" s="525"/>
      <c r="E237" s="525"/>
      <c r="F237" s="525"/>
      <c r="G237" s="447"/>
      <c r="H237" s="525"/>
      <c r="I237" s="525"/>
    </row>
    <row r="238" spans="1:9" x14ac:dyDescent="0.25">
      <c r="A238" s="157" t="s">
        <v>216</v>
      </c>
      <c r="B238" s="51" t="s">
        <v>217</v>
      </c>
      <c r="C238" s="56">
        <v>5000</v>
      </c>
      <c r="D238" s="521"/>
      <c r="E238" s="521"/>
      <c r="F238" s="521"/>
      <c r="G238" s="438"/>
      <c r="H238" s="521"/>
      <c r="I238" s="521"/>
    </row>
    <row r="239" spans="1:9" x14ac:dyDescent="0.25">
      <c r="A239" s="157"/>
      <c r="B239" s="51"/>
      <c r="C239" s="56"/>
      <c r="D239" s="521"/>
      <c r="E239" s="521"/>
      <c r="F239" s="521"/>
      <c r="G239" s="438"/>
      <c r="H239" s="521"/>
      <c r="I239" s="521"/>
    </row>
    <row r="240" spans="1:9" x14ac:dyDescent="0.25">
      <c r="A240" s="157"/>
      <c r="B240" s="51"/>
      <c r="C240" s="56"/>
      <c r="D240" s="521"/>
      <c r="E240" s="521"/>
      <c r="F240" s="521"/>
      <c r="G240" s="438"/>
      <c r="H240" s="521"/>
      <c r="I240" s="521"/>
    </row>
    <row r="241" spans="1:9" x14ac:dyDescent="0.25">
      <c r="A241" s="157"/>
      <c r="B241" s="51"/>
      <c r="C241" s="56"/>
      <c r="D241" s="521"/>
      <c r="E241" s="521"/>
      <c r="F241" s="521"/>
      <c r="G241" s="438"/>
      <c r="H241" s="521"/>
      <c r="I241" s="521"/>
    </row>
    <row r="242" spans="1:9" x14ac:dyDescent="0.25">
      <c r="A242" s="157"/>
      <c r="B242" s="51"/>
      <c r="C242" s="56"/>
      <c r="D242" s="521"/>
      <c r="E242" s="521"/>
      <c r="F242" s="521"/>
      <c r="G242" s="438"/>
      <c r="H242" s="521"/>
      <c r="I242" s="521"/>
    </row>
    <row r="243" spans="1:9" x14ac:dyDescent="0.25">
      <c r="A243" s="475"/>
      <c r="B243" s="440" t="s">
        <v>475</v>
      </c>
      <c r="C243" s="441"/>
      <c r="D243" s="523">
        <v>2500</v>
      </c>
      <c r="E243" s="523"/>
      <c r="F243" s="523">
        <f>SUM(F239:F242)</f>
        <v>0</v>
      </c>
      <c r="G243" s="443"/>
      <c r="H243" s="524">
        <f>D243-F243</f>
        <v>2500</v>
      </c>
      <c r="I243" s="523"/>
    </row>
    <row r="244" spans="1:9" x14ac:dyDescent="0.25">
      <c r="A244" s="157" t="s">
        <v>218</v>
      </c>
      <c r="B244" s="51" t="s">
        <v>219</v>
      </c>
      <c r="C244" s="56">
        <v>7000</v>
      </c>
      <c r="D244" s="521"/>
      <c r="E244" s="521"/>
      <c r="F244" s="521"/>
      <c r="G244" s="438"/>
      <c r="H244" s="521"/>
      <c r="I244" s="521"/>
    </row>
    <row r="245" spans="1:9" x14ac:dyDescent="0.25">
      <c r="A245" s="157"/>
      <c r="B245" s="51"/>
      <c r="C245" s="56"/>
      <c r="D245" s="521"/>
      <c r="E245" s="521"/>
      <c r="F245" s="521"/>
      <c r="G245" s="438"/>
      <c r="H245" s="521"/>
      <c r="I245" s="521"/>
    </row>
    <row r="246" spans="1:9" x14ac:dyDescent="0.25">
      <c r="A246" s="157"/>
      <c r="B246" s="51"/>
      <c r="C246" s="56"/>
      <c r="D246" s="521"/>
      <c r="E246" s="521"/>
      <c r="F246" s="521"/>
      <c r="G246" s="438"/>
      <c r="H246" s="521"/>
      <c r="I246" s="521"/>
    </row>
    <row r="247" spans="1:9" x14ac:dyDescent="0.25">
      <c r="A247" s="157"/>
      <c r="B247" s="51"/>
      <c r="C247" s="56"/>
      <c r="D247" s="521"/>
      <c r="E247" s="521"/>
      <c r="F247" s="521"/>
      <c r="G247" s="438"/>
      <c r="H247" s="521"/>
      <c r="I247" s="521"/>
    </row>
    <row r="248" spans="1:9" x14ac:dyDescent="0.25">
      <c r="A248" s="475"/>
      <c r="B248" s="440" t="s">
        <v>477</v>
      </c>
      <c r="C248" s="441"/>
      <c r="D248" s="523">
        <v>3500</v>
      </c>
      <c r="E248" s="523"/>
      <c r="F248" s="523">
        <f>SUM(F245:F247)</f>
        <v>0</v>
      </c>
      <c r="G248" s="443"/>
      <c r="H248" s="524">
        <f>D248-F248</f>
        <v>3500</v>
      </c>
      <c r="I248" s="523"/>
    </row>
    <row r="249" spans="1:9" ht="25.5" x14ac:dyDescent="0.25">
      <c r="A249" s="157" t="s">
        <v>220</v>
      </c>
      <c r="B249" s="51" t="s">
        <v>221</v>
      </c>
      <c r="C249" s="56">
        <v>15000</v>
      </c>
      <c r="D249" s="521"/>
      <c r="E249" s="521"/>
      <c r="F249" s="521"/>
      <c r="G249" s="438"/>
      <c r="H249" s="521"/>
      <c r="I249" s="521"/>
    </row>
    <row r="250" spans="1:9" x14ac:dyDescent="0.25">
      <c r="A250" s="157"/>
      <c r="B250" s="51"/>
      <c r="C250" s="56"/>
      <c r="D250" s="521"/>
      <c r="E250" s="521"/>
      <c r="F250" s="521"/>
      <c r="G250" s="438"/>
      <c r="H250" s="521"/>
      <c r="I250" s="521"/>
    </row>
    <row r="251" spans="1:9" x14ac:dyDescent="0.25">
      <c r="A251" s="157"/>
      <c r="B251" s="51"/>
      <c r="C251" s="56"/>
      <c r="D251" s="521"/>
      <c r="E251" s="521"/>
      <c r="F251" s="521"/>
      <c r="G251" s="438"/>
      <c r="H251" s="521"/>
      <c r="I251" s="521"/>
    </row>
    <row r="252" spans="1:9" x14ac:dyDescent="0.25">
      <c r="A252" s="157"/>
      <c r="B252" s="51"/>
      <c r="C252" s="56"/>
      <c r="D252" s="521"/>
      <c r="E252" s="521"/>
      <c r="F252" s="521"/>
      <c r="G252" s="438"/>
      <c r="H252" s="521"/>
      <c r="I252" s="521"/>
    </row>
    <row r="253" spans="1:9" x14ac:dyDescent="0.25">
      <c r="A253" s="157"/>
      <c r="B253" s="51"/>
      <c r="C253" s="56"/>
      <c r="D253" s="521"/>
      <c r="E253" s="521"/>
      <c r="F253" s="521"/>
      <c r="G253" s="438"/>
      <c r="H253" s="521"/>
      <c r="I253" s="521"/>
    </row>
    <row r="254" spans="1:9" x14ac:dyDescent="0.25">
      <c r="A254" s="157"/>
      <c r="B254" s="51"/>
      <c r="C254" s="56"/>
      <c r="D254" s="521"/>
      <c r="E254" s="521"/>
      <c r="F254" s="521"/>
      <c r="G254" s="438"/>
      <c r="H254" s="521"/>
      <c r="I254" s="521"/>
    </row>
    <row r="255" spans="1:9" x14ac:dyDescent="0.25">
      <c r="A255" s="475"/>
      <c r="B255" s="440" t="s">
        <v>479</v>
      </c>
      <c r="C255" s="441"/>
      <c r="D255" s="523">
        <v>7500</v>
      </c>
      <c r="E255" s="523"/>
      <c r="F255" s="523">
        <f>SUM(F250:F254)</f>
        <v>0</v>
      </c>
      <c r="G255" s="443"/>
      <c r="H255" s="524">
        <f>D255-F255</f>
        <v>7500</v>
      </c>
      <c r="I255" s="523"/>
    </row>
    <row r="256" spans="1:9" x14ac:dyDescent="0.25">
      <c r="A256" s="157" t="s">
        <v>223</v>
      </c>
      <c r="B256" s="51" t="s">
        <v>224</v>
      </c>
      <c r="C256" s="56">
        <v>2000</v>
      </c>
      <c r="D256" s="521"/>
      <c r="E256" s="521"/>
      <c r="F256" s="521"/>
      <c r="G256" s="438"/>
      <c r="H256" s="521"/>
      <c r="I256" s="521"/>
    </row>
    <row r="257" spans="1:9" x14ac:dyDescent="0.25">
      <c r="A257" s="157"/>
      <c r="B257" s="51"/>
      <c r="C257" s="56"/>
      <c r="D257" s="521"/>
      <c r="E257" s="521"/>
      <c r="F257" s="521"/>
      <c r="G257" s="438"/>
      <c r="H257" s="521"/>
      <c r="I257" s="521"/>
    </row>
    <row r="258" spans="1:9" x14ac:dyDescent="0.25">
      <c r="A258" s="157"/>
      <c r="B258" s="51"/>
      <c r="C258" s="56"/>
      <c r="D258" s="521"/>
      <c r="E258" s="521"/>
      <c r="F258" s="521"/>
      <c r="G258" s="438"/>
      <c r="H258" s="521"/>
      <c r="I258" s="521"/>
    </row>
    <row r="259" spans="1:9" x14ac:dyDescent="0.25">
      <c r="A259" s="157"/>
      <c r="B259" s="51"/>
      <c r="C259" s="56"/>
      <c r="D259" s="521"/>
      <c r="E259" s="521"/>
      <c r="F259" s="521"/>
      <c r="G259" s="438"/>
      <c r="H259" s="521"/>
      <c r="I259" s="521"/>
    </row>
    <row r="260" spans="1:9" x14ac:dyDescent="0.25">
      <c r="A260" s="157"/>
      <c r="B260" s="51"/>
      <c r="C260" s="56"/>
      <c r="D260" s="521"/>
      <c r="E260" s="521"/>
      <c r="F260" s="521"/>
      <c r="G260" s="438"/>
      <c r="H260" s="521"/>
      <c r="I260" s="521"/>
    </row>
    <row r="261" spans="1:9" x14ac:dyDescent="0.25">
      <c r="A261" s="475"/>
      <c r="B261" s="440" t="s">
        <v>481</v>
      </c>
      <c r="C261" s="441"/>
      <c r="D261" s="523">
        <v>1000</v>
      </c>
      <c r="E261" s="523"/>
      <c r="F261" s="523">
        <f>SUM(F257:F260)</f>
        <v>0</v>
      </c>
      <c r="G261" s="443"/>
      <c r="H261" s="524">
        <f>D261-F261</f>
        <v>1000</v>
      </c>
      <c r="I261" s="523"/>
    </row>
    <row r="262" spans="1:9" x14ac:dyDescent="0.25">
      <c r="A262" s="161"/>
      <c r="B262" s="457" t="s">
        <v>225</v>
      </c>
      <c r="C262" s="75">
        <f>SUM(C238:C256)</f>
        <v>29000</v>
      </c>
      <c r="D262" s="528">
        <f>SUM(D261,D255,D248,D243)</f>
        <v>14500</v>
      </c>
      <c r="E262" s="528"/>
      <c r="F262" s="528">
        <f>SUM(F261,F255,F248,F243)</f>
        <v>0</v>
      </c>
      <c r="G262" s="455"/>
      <c r="H262" s="529">
        <f>D262-F262</f>
        <v>14500</v>
      </c>
      <c r="I262" s="528"/>
    </row>
    <row r="263" spans="1:9" x14ac:dyDescent="0.25">
      <c r="A263" s="445">
        <v>3.2</v>
      </c>
      <c r="B263" s="476" t="s">
        <v>226</v>
      </c>
      <c r="C263" s="358"/>
      <c r="D263" s="525"/>
      <c r="E263" s="525"/>
      <c r="F263" s="525"/>
      <c r="G263" s="447"/>
      <c r="H263" s="525"/>
      <c r="I263" s="525"/>
    </row>
    <row r="264" spans="1:9" ht="25.5" x14ac:dyDescent="0.25">
      <c r="A264" s="90" t="s">
        <v>227</v>
      </c>
      <c r="B264" s="51" t="s">
        <v>228</v>
      </c>
      <c r="C264" s="56">
        <v>24000</v>
      </c>
      <c r="D264" s="521"/>
      <c r="E264" s="521"/>
      <c r="F264" s="521"/>
      <c r="G264" s="438"/>
      <c r="H264" s="521"/>
      <c r="I264" s="521"/>
    </row>
    <row r="265" spans="1:9" x14ac:dyDescent="0.25">
      <c r="A265" s="90"/>
      <c r="B265" s="51"/>
      <c r="C265" s="56"/>
      <c r="D265" s="521"/>
      <c r="E265" s="521"/>
      <c r="F265" s="521"/>
      <c r="G265" s="438"/>
      <c r="H265" s="521"/>
      <c r="I265" s="521"/>
    </row>
    <row r="266" spans="1:9" x14ac:dyDescent="0.25">
      <c r="A266" s="90"/>
      <c r="B266" s="51"/>
      <c r="C266" s="56"/>
      <c r="D266" s="521"/>
      <c r="E266" s="521"/>
      <c r="F266" s="521"/>
      <c r="G266" s="438"/>
      <c r="H266" s="521"/>
      <c r="I266" s="521"/>
    </row>
    <row r="267" spans="1:9" x14ac:dyDescent="0.25">
      <c r="A267" s="90"/>
      <c r="B267" s="51"/>
      <c r="C267" s="56"/>
      <c r="D267" s="521"/>
      <c r="E267" s="521"/>
      <c r="F267" s="521"/>
      <c r="G267" s="438"/>
      <c r="H267" s="521"/>
      <c r="I267" s="521"/>
    </row>
    <row r="268" spans="1:9" x14ac:dyDescent="0.25">
      <c r="A268" s="90"/>
      <c r="B268" s="51"/>
      <c r="C268" s="56"/>
      <c r="D268" s="521"/>
      <c r="E268" s="521"/>
      <c r="F268" s="521"/>
      <c r="G268" s="438"/>
      <c r="H268" s="521"/>
      <c r="I268" s="521"/>
    </row>
    <row r="269" spans="1:9" x14ac:dyDescent="0.25">
      <c r="A269" s="449"/>
      <c r="B269" s="440" t="s">
        <v>482</v>
      </c>
      <c r="C269" s="441"/>
      <c r="D269" s="523">
        <v>6000</v>
      </c>
      <c r="E269" s="523"/>
      <c r="F269" s="523">
        <f>SUM(F265:F268)</f>
        <v>0</v>
      </c>
      <c r="G269" s="443"/>
      <c r="H269" s="524">
        <f>D269-F269</f>
        <v>6000</v>
      </c>
      <c r="I269" s="523"/>
    </row>
    <row r="270" spans="1:9" x14ac:dyDescent="0.25">
      <c r="A270" s="90" t="s">
        <v>229</v>
      </c>
      <c r="B270" s="51" t="s">
        <v>230</v>
      </c>
      <c r="C270" s="56">
        <v>4000</v>
      </c>
      <c r="D270" s="521"/>
      <c r="E270" s="521"/>
      <c r="F270" s="521"/>
      <c r="G270" s="438"/>
      <c r="H270" s="521"/>
      <c r="I270" s="521"/>
    </row>
    <row r="271" spans="1:9" x14ac:dyDescent="0.25">
      <c r="A271" s="90"/>
      <c r="B271" s="51"/>
      <c r="C271" s="56"/>
      <c r="D271" s="521"/>
      <c r="E271" s="521"/>
      <c r="F271" s="521"/>
      <c r="G271" s="438"/>
      <c r="H271" s="521"/>
      <c r="I271" s="521"/>
    </row>
    <row r="272" spans="1:9" x14ac:dyDescent="0.25">
      <c r="A272" s="90"/>
      <c r="B272" s="51"/>
      <c r="C272" s="56"/>
      <c r="D272" s="521"/>
      <c r="E272" s="521"/>
      <c r="F272" s="521"/>
      <c r="G272" s="438"/>
      <c r="H272" s="521"/>
      <c r="I272" s="521"/>
    </row>
    <row r="273" spans="1:9" x14ac:dyDescent="0.25">
      <c r="A273" s="90"/>
      <c r="B273" s="51"/>
      <c r="C273" s="56"/>
      <c r="D273" s="521"/>
      <c r="E273" s="521"/>
      <c r="F273" s="521"/>
      <c r="G273" s="438"/>
      <c r="H273" s="521"/>
      <c r="I273" s="521"/>
    </row>
    <row r="274" spans="1:9" x14ac:dyDescent="0.25">
      <c r="A274" s="449"/>
      <c r="B274" s="440" t="s">
        <v>483</v>
      </c>
      <c r="C274" s="441"/>
      <c r="D274" s="523">
        <v>2000</v>
      </c>
      <c r="E274" s="523"/>
      <c r="F274" s="523">
        <f>SUM(F271:F273)</f>
        <v>0</v>
      </c>
      <c r="G274" s="443"/>
      <c r="H274" s="524">
        <f>D274-F274</f>
        <v>2000</v>
      </c>
      <c r="I274" s="523"/>
    </row>
    <row r="275" spans="1:9" x14ac:dyDescent="0.25">
      <c r="A275" s="164"/>
      <c r="B275" s="457" t="s">
        <v>231</v>
      </c>
      <c r="C275" s="165">
        <f>SUM(C264:C270)</f>
        <v>28000</v>
      </c>
      <c r="D275" s="528">
        <f>SUM(D274,D269)</f>
        <v>8000</v>
      </c>
      <c r="E275" s="528"/>
      <c r="F275" s="528">
        <f>SUM(F274,F269)</f>
        <v>0</v>
      </c>
      <c r="G275" s="455"/>
      <c r="H275" s="529">
        <f>D275-F275</f>
        <v>8000</v>
      </c>
      <c r="I275" s="528"/>
    </row>
    <row r="276" spans="1:9" ht="25.5" x14ac:dyDescent="0.25">
      <c r="A276" s="445">
        <v>3.3</v>
      </c>
      <c r="B276" s="476" t="s">
        <v>232</v>
      </c>
      <c r="C276" s="358"/>
      <c r="D276" s="525"/>
      <c r="E276" s="525"/>
      <c r="F276" s="525"/>
      <c r="G276" s="447"/>
      <c r="H276" s="525"/>
      <c r="I276" s="525"/>
    </row>
    <row r="277" spans="1:9" x14ac:dyDescent="0.25">
      <c r="A277" s="90" t="s">
        <v>233</v>
      </c>
      <c r="B277" s="51" t="s">
        <v>234</v>
      </c>
      <c r="C277" s="56">
        <v>4000</v>
      </c>
      <c r="D277" s="521"/>
      <c r="E277" s="521"/>
      <c r="F277" s="521"/>
      <c r="G277" s="438"/>
      <c r="H277" s="521"/>
      <c r="I277" s="521"/>
    </row>
    <row r="278" spans="1:9" x14ac:dyDescent="0.25">
      <c r="A278" s="90"/>
      <c r="B278" s="51"/>
      <c r="C278" s="56"/>
      <c r="D278" s="521"/>
      <c r="E278" s="521"/>
      <c r="F278" s="521"/>
      <c r="G278" s="438"/>
      <c r="H278" s="521"/>
      <c r="I278" s="521"/>
    </row>
    <row r="279" spans="1:9" x14ac:dyDescent="0.25">
      <c r="A279" s="449"/>
      <c r="B279" s="440" t="s">
        <v>488</v>
      </c>
      <c r="C279" s="441"/>
      <c r="D279" s="523">
        <v>2000</v>
      </c>
      <c r="E279" s="523"/>
      <c r="F279" s="523">
        <f>SUM(F278:F278)</f>
        <v>0</v>
      </c>
      <c r="G279" s="443"/>
      <c r="H279" s="524">
        <f>D279-F279</f>
        <v>2000</v>
      </c>
      <c r="I279" s="523"/>
    </row>
    <row r="280" spans="1:9" ht="27" customHeight="1" x14ac:dyDescent="0.25">
      <c r="A280" s="90" t="s">
        <v>235</v>
      </c>
      <c r="B280" s="51" t="s">
        <v>236</v>
      </c>
      <c r="C280" s="56">
        <v>9840</v>
      </c>
      <c r="D280" s="521"/>
      <c r="E280" s="521"/>
      <c r="F280" s="521"/>
      <c r="G280" s="438"/>
      <c r="H280" s="521"/>
      <c r="I280" s="521"/>
    </row>
    <row r="281" spans="1:9" x14ac:dyDescent="0.25">
      <c r="A281" s="90"/>
      <c r="B281" s="51"/>
      <c r="C281" s="56"/>
      <c r="D281" s="521"/>
      <c r="E281" s="521"/>
      <c r="F281" s="521"/>
      <c r="G281" s="438"/>
      <c r="H281" s="521"/>
      <c r="I281" s="521"/>
    </row>
    <row r="282" spans="1:9" x14ac:dyDescent="0.25">
      <c r="A282" s="90"/>
      <c r="B282" s="51"/>
      <c r="C282" s="56"/>
      <c r="D282" s="521"/>
      <c r="E282" s="521"/>
      <c r="F282" s="521"/>
      <c r="G282" s="438"/>
      <c r="H282" s="521"/>
      <c r="I282" s="521"/>
    </row>
    <row r="283" spans="1:9" x14ac:dyDescent="0.25">
      <c r="A283" s="449"/>
      <c r="B283" s="440" t="s">
        <v>483</v>
      </c>
      <c r="C283" s="441"/>
      <c r="D283" s="523">
        <v>4920</v>
      </c>
      <c r="E283" s="523"/>
      <c r="F283" s="523">
        <f>SUM(F281:F282)</f>
        <v>0</v>
      </c>
      <c r="G283" s="443"/>
      <c r="H283" s="524">
        <f>D283-F283</f>
        <v>4920</v>
      </c>
      <c r="I283" s="523"/>
    </row>
    <row r="284" spans="1:9" ht="25.5" x14ac:dyDescent="0.25">
      <c r="A284" s="90" t="s">
        <v>237</v>
      </c>
      <c r="B284" s="51" t="s">
        <v>238</v>
      </c>
      <c r="C284" s="56">
        <v>10000</v>
      </c>
      <c r="D284" s="521"/>
      <c r="E284" s="521"/>
      <c r="F284" s="521"/>
      <c r="G284" s="438"/>
      <c r="H284" s="521"/>
      <c r="I284" s="521"/>
    </row>
    <row r="285" spans="1:9" x14ac:dyDescent="0.25">
      <c r="A285" s="90"/>
      <c r="B285" s="51"/>
      <c r="C285" s="56"/>
      <c r="D285" s="521"/>
      <c r="E285" s="521"/>
      <c r="F285" s="521"/>
      <c r="G285" s="438"/>
      <c r="H285" s="521"/>
      <c r="I285" s="521"/>
    </row>
    <row r="286" spans="1:9" x14ac:dyDescent="0.25">
      <c r="A286" s="90"/>
      <c r="B286" s="51"/>
      <c r="C286" s="56"/>
      <c r="D286" s="521"/>
      <c r="E286" s="521"/>
      <c r="F286" s="521"/>
      <c r="G286" s="438"/>
      <c r="H286" s="521"/>
      <c r="I286" s="521"/>
    </row>
    <row r="287" spans="1:9" x14ac:dyDescent="0.25">
      <c r="A287" s="90"/>
      <c r="B287" s="51"/>
      <c r="C287" s="56"/>
      <c r="D287" s="521"/>
      <c r="E287" s="521"/>
      <c r="F287" s="521"/>
      <c r="G287" s="438"/>
      <c r="H287" s="521"/>
      <c r="I287" s="521"/>
    </row>
    <row r="288" spans="1:9" x14ac:dyDescent="0.25">
      <c r="A288" s="449"/>
      <c r="B288" s="440" t="s">
        <v>491</v>
      </c>
      <c r="C288" s="441"/>
      <c r="D288" s="523">
        <v>5000</v>
      </c>
      <c r="E288" s="523"/>
      <c r="F288" s="523">
        <f>SUM(F285:F287)</f>
        <v>0</v>
      </c>
      <c r="G288" s="443"/>
      <c r="H288" s="524">
        <f>D288-F288</f>
        <v>5000</v>
      </c>
      <c r="I288" s="523"/>
    </row>
    <row r="289" spans="1:9" x14ac:dyDescent="0.25">
      <c r="A289" s="90" t="s">
        <v>240</v>
      </c>
      <c r="B289" s="51" t="s">
        <v>241</v>
      </c>
      <c r="C289" s="56">
        <v>1000</v>
      </c>
      <c r="D289" s="521"/>
      <c r="E289" s="521"/>
      <c r="F289" s="521"/>
      <c r="G289" s="438"/>
      <c r="H289" s="521"/>
      <c r="I289" s="521"/>
    </row>
    <row r="290" spans="1:9" x14ac:dyDescent="0.25">
      <c r="A290" s="90"/>
      <c r="B290" s="51"/>
      <c r="C290" s="56"/>
      <c r="D290" s="521"/>
      <c r="E290" s="521"/>
      <c r="F290" s="521"/>
      <c r="G290" s="438"/>
      <c r="H290" s="521"/>
      <c r="I290" s="521"/>
    </row>
    <row r="291" spans="1:9" x14ac:dyDescent="0.25">
      <c r="A291" s="449"/>
      <c r="B291" s="440" t="s">
        <v>493</v>
      </c>
      <c r="C291" s="441"/>
      <c r="D291" s="523">
        <v>500</v>
      </c>
      <c r="E291" s="523"/>
      <c r="F291" s="523">
        <f>SUM(F290:F290)</f>
        <v>0</v>
      </c>
      <c r="G291" s="443"/>
      <c r="H291" s="524">
        <f>D291-F291</f>
        <v>500</v>
      </c>
      <c r="I291" s="523"/>
    </row>
    <row r="292" spans="1:9" x14ac:dyDescent="0.25">
      <c r="A292" s="94"/>
      <c r="B292" s="457" t="s">
        <v>242</v>
      </c>
      <c r="C292" s="97">
        <f>SUM(C277:C289)</f>
        <v>24840</v>
      </c>
      <c r="D292" s="528">
        <f>SUM(D291,D288,D283,D279)</f>
        <v>12420</v>
      </c>
      <c r="E292" s="528"/>
      <c r="F292" s="528">
        <f>SUM(F291,F288,F283,F279)</f>
        <v>0</v>
      </c>
      <c r="G292" s="455"/>
      <c r="H292" s="529">
        <f>D292-F292</f>
        <v>12420</v>
      </c>
      <c r="I292" s="528"/>
    </row>
    <row r="293" spans="1:9" x14ac:dyDescent="0.25">
      <c r="A293" s="359"/>
      <c r="B293" s="462" t="s">
        <v>243</v>
      </c>
      <c r="C293" s="98">
        <f>SUM(C292,C275,C262)</f>
        <v>81840</v>
      </c>
      <c r="D293" s="533">
        <f>SUM(D292,D275,D262)</f>
        <v>34920</v>
      </c>
      <c r="E293" s="533"/>
      <c r="F293" s="533">
        <f>SUM(F292,F275,F262)</f>
        <v>0</v>
      </c>
      <c r="G293" s="464"/>
      <c r="H293" s="534">
        <f>D293-F293</f>
        <v>34920</v>
      </c>
      <c r="I293" s="533"/>
    </row>
    <row r="294" spans="1:9" x14ac:dyDescent="0.25">
      <c r="A294" s="116"/>
      <c r="B294" s="466" t="s">
        <v>244</v>
      </c>
      <c r="C294" s="119"/>
      <c r="D294" s="537"/>
      <c r="E294" s="537"/>
      <c r="F294" s="537"/>
      <c r="G294" s="474"/>
      <c r="H294" s="537"/>
      <c r="I294" s="537"/>
    </row>
    <row r="295" spans="1:9" x14ac:dyDescent="0.25">
      <c r="A295" s="445">
        <v>4.0999999999999996</v>
      </c>
      <c r="B295" s="476" t="s">
        <v>245</v>
      </c>
      <c r="C295" s="366"/>
      <c r="D295" s="525"/>
      <c r="E295" s="525"/>
      <c r="F295" s="525"/>
      <c r="G295" s="447"/>
      <c r="H295" s="525"/>
      <c r="I295" s="525"/>
    </row>
    <row r="296" spans="1:9" x14ac:dyDescent="0.25">
      <c r="A296" s="170" t="s">
        <v>246</v>
      </c>
      <c r="B296" s="51" t="s">
        <v>247</v>
      </c>
      <c r="C296" s="56">
        <v>54000</v>
      </c>
      <c r="D296" s="521"/>
      <c r="E296" s="521"/>
      <c r="F296" s="521"/>
      <c r="G296" s="438"/>
      <c r="H296" s="521"/>
      <c r="I296" s="521"/>
    </row>
    <row r="297" spans="1:9" x14ac:dyDescent="0.25">
      <c r="A297" s="170"/>
      <c r="B297" s="51"/>
      <c r="C297" s="56"/>
      <c r="D297" s="521"/>
      <c r="E297" s="521"/>
      <c r="F297" s="521"/>
      <c r="G297" s="438"/>
      <c r="H297" s="521"/>
      <c r="I297" s="521"/>
    </row>
    <row r="298" spans="1:9" x14ac:dyDescent="0.25">
      <c r="A298" s="170"/>
      <c r="B298" s="51"/>
      <c r="C298" s="56"/>
      <c r="D298" s="521"/>
      <c r="E298" s="521"/>
      <c r="F298" s="521"/>
      <c r="G298" s="438"/>
      <c r="H298" s="521"/>
      <c r="I298" s="521"/>
    </row>
    <row r="299" spans="1:9" x14ac:dyDescent="0.25">
      <c r="A299" s="170"/>
      <c r="B299" s="51"/>
      <c r="C299" s="56"/>
      <c r="D299" s="521"/>
      <c r="E299" s="521"/>
      <c r="F299" s="521"/>
      <c r="G299" s="438"/>
      <c r="H299" s="521"/>
      <c r="I299" s="521"/>
    </row>
    <row r="300" spans="1:9" x14ac:dyDescent="0.25">
      <c r="A300" s="477"/>
      <c r="B300" s="440" t="s">
        <v>494</v>
      </c>
      <c r="C300" s="441"/>
      <c r="D300" s="523">
        <v>18000</v>
      </c>
      <c r="E300" s="523"/>
      <c r="F300" s="523">
        <f>SUM(F297:F299)</f>
        <v>0</v>
      </c>
      <c r="G300" s="443"/>
      <c r="H300" s="524">
        <f>D300-F300</f>
        <v>18000</v>
      </c>
      <c r="I300" s="523"/>
    </row>
    <row r="301" spans="1:9" x14ac:dyDescent="0.25">
      <c r="A301" s="170" t="s">
        <v>249</v>
      </c>
      <c r="B301" s="51" t="s">
        <v>250</v>
      </c>
      <c r="C301" s="56">
        <v>7200</v>
      </c>
      <c r="D301" s="521"/>
      <c r="E301" s="521"/>
      <c r="F301" s="521"/>
      <c r="G301" s="438"/>
      <c r="H301" s="521"/>
      <c r="I301" s="521"/>
    </row>
    <row r="302" spans="1:9" x14ac:dyDescent="0.25">
      <c r="A302" s="170"/>
      <c r="B302" s="51"/>
      <c r="C302" s="56"/>
      <c r="D302" s="521"/>
      <c r="E302" s="521"/>
      <c r="F302" s="521"/>
      <c r="G302" s="438"/>
      <c r="H302" s="521"/>
      <c r="I302" s="521"/>
    </row>
    <row r="303" spans="1:9" x14ac:dyDescent="0.25">
      <c r="A303" s="170"/>
      <c r="B303" s="51"/>
      <c r="C303" s="56"/>
      <c r="D303" s="521"/>
      <c r="E303" s="521"/>
      <c r="F303" s="521"/>
      <c r="G303" s="438"/>
      <c r="H303" s="521"/>
      <c r="I303" s="521"/>
    </row>
    <row r="304" spans="1:9" x14ac:dyDescent="0.25">
      <c r="A304" s="170"/>
      <c r="B304" s="51"/>
      <c r="C304" s="56"/>
      <c r="D304" s="521"/>
      <c r="E304" s="521"/>
      <c r="F304" s="521"/>
      <c r="G304" s="438"/>
      <c r="H304" s="521"/>
      <c r="I304" s="521"/>
    </row>
    <row r="305" spans="1:9" x14ac:dyDescent="0.25">
      <c r="A305" s="477"/>
      <c r="B305" s="440" t="s">
        <v>495</v>
      </c>
      <c r="C305" s="441"/>
      <c r="D305" s="523">
        <v>2400</v>
      </c>
      <c r="E305" s="523"/>
      <c r="F305" s="523">
        <f>SUM(F302:F304)</f>
        <v>0</v>
      </c>
      <c r="G305" s="443"/>
      <c r="H305" s="524">
        <f>D305-F305</f>
        <v>2400</v>
      </c>
      <c r="I305" s="523"/>
    </row>
    <row r="306" spans="1:9" x14ac:dyDescent="0.25">
      <c r="A306" s="478">
        <v>4.2</v>
      </c>
      <c r="B306" s="446" t="s">
        <v>251</v>
      </c>
      <c r="C306" s="479">
        <v>0</v>
      </c>
      <c r="D306" s="538"/>
      <c r="E306" s="538"/>
      <c r="F306" s="538"/>
      <c r="G306" s="480"/>
      <c r="H306" s="538"/>
      <c r="I306" s="538"/>
    </row>
    <row r="307" spans="1:9" x14ac:dyDescent="0.25">
      <c r="A307" s="170" t="s">
        <v>252</v>
      </c>
      <c r="B307" s="51" t="s">
        <v>251</v>
      </c>
      <c r="C307" s="481">
        <v>28000</v>
      </c>
      <c r="D307" s="539"/>
      <c r="E307" s="539"/>
      <c r="F307" s="539"/>
      <c r="G307" s="482"/>
      <c r="H307" s="539"/>
      <c r="I307" s="539"/>
    </row>
    <row r="308" spans="1:9" x14ac:dyDescent="0.25">
      <c r="A308" s="170"/>
      <c r="B308" s="51"/>
      <c r="C308" s="481"/>
      <c r="D308" s="539"/>
      <c r="E308" s="539"/>
      <c r="F308" s="539"/>
      <c r="G308" s="482"/>
      <c r="H308" s="539"/>
      <c r="I308" s="539"/>
    </row>
    <row r="309" spans="1:9" x14ac:dyDescent="0.25">
      <c r="A309" s="477"/>
      <c r="B309" s="440" t="s">
        <v>496</v>
      </c>
      <c r="C309" s="483"/>
      <c r="D309" s="540">
        <v>0</v>
      </c>
      <c r="E309" s="540"/>
      <c r="F309" s="523">
        <f>SUM(F307:F308)</f>
        <v>0</v>
      </c>
      <c r="G309" s="484"/>
      <c r="H309" s="540"/>
      <c r="I309" s="540"/>
    </row>
    <row r="310" spans="1:9" x14ac:dyDescent="0.25">
      <c r="A310" s="170" t="s">
        <v>253</v>
      </c>
      <c r="B310" s="51" t="s">
        <v>254</v>
      </c>
      <c r="C310" s="56">
        <v>6000</v>
      </c>
      <c r="D310" s="521"/>
      <c r="E310" s="521"/>
      <c r="F310" s="521"/>
      <c r="G310" s="438"/>
      <c r="H310" s="521"/>
      <c r="I310" s="521"/>
    </row>
    <row r="311" spans="1:9" x14ac:dyDescent="0.25">
      <c r="A311" s="170"/>
      <c r="B311" s="51"/>
      <c r="C311" s="56"/>
      <c r="D311" s="521"/>
      <c r="E311" s="521"/>
      <c r="F311" s="521"/>
      <c r="G311" s="438"/>
      <c r="H311" s="521"/>
      <c r="I311" s="521"/>
    </row>
    <row r="312" spans="1:9" x14ac:dyDescent="0.25">
      <c r="A312" s="477"/>
      <c r="B312" s="440" t="s">
        <v>497</v>
      </c>
      <c r="C312" s="441"/>
      <c r="D312" s="523">
        <v>0</v>
      </c>
      <c r="E312" s="523"/>
      <c r="F312" s="523">
        <f>SUM(F310:F311)</f>
        <v>0</v>
      </c>
      <c r="G312" s="443"/>
      <c r="H312" s="524">
        <f>D312-F312</f>
        <v>0</v>
      </c>
      <c r="I312" s="523"/>
    </row>
    <row r="313" spans="1:9" x14ac:dyDescent="0.25">
      <c r="A313" s="94"/>
      <c r="B313" s="457" t="s">
        <v>498</v>
      </c>
      <c r="C313" s="97">
        <f>SUM(C296:C312)</f>
        <v>95200</v>
      </c>
      <c r="D313" s="528">
        <f>SUM(D309,D312,D305,D300)</f>
        <v>20400</v>
      </c>
      <c r="E313" s="528"/>
      <c r="F313" s="528">
        <f>SUM(F309,F312,F305,F300)</f>
        <v>0</v>
      </c>
      <c r="G313" s="528"/>
      <c r="H313" s="529">
        <f>D313-F313</f>
        <v>20400</v>
      </c>
      <c r="I313" s="528"/>
    </row>
    <row r="314" spans="1:9" x14ac:dyDescent="0.25">
      <c r="A314" s="445">
        <v>4.3</v>
      </c>
      <c r="B314" s="452" t="s">
        <v>257</v>
      </c>
      <c r="C314" s="366"/>
      <c r="D314" s="525"/>
      <c r="E314" s="525"/>
      <c r="F314" s="525"/>
      <c r="G314" s="447"/>
      <c r="H314" s="525"/>
      <c r="I314" s="525"/>
    </row>
    <row r="315" spans="1:9" x14ac:dyDescent="0.25">
      <c r="A315" s="70" t="s">
        <v>258</v>
      </c>
      <c r="B315" s="51" t="s">
        <v>259</v>
      </c>
      <c r="C315" s="56">
        <v>8640</v>
      </c>
      <c r="D315" s="521"/>
      <c r="E315" s="521"/>
      <c r="F315" s="521"/>
      <c r="G315" s="438"/>
      <c r="H315" s="521"/>
      <c r="I315" s="521"/>
    </row>
    <row r="316" spans="1:9" x14ac:dyDescent="0.25">
      <c r="A316" s="70"/>
      <c r="B316" s="51"/>
      <c r="C316" s="56"/>
      <c r="D316" s="521"/>
      <c r="E316" s="521"/>
      <c r="F316" s="521"/>
      <c r="G316" s="438"/>
      <c r="H316" s="521"/>
      <c r="I316" s="521"/>
    </row>
    <row r="317" spans="1:9" x14ac:dyDescent="0.25">
      <c r="A317" s="70"/>
      <c r="B317" s="51"/>
      <c r="C317" s="56"/>
      <c r="D317" s="521"/>
      <c r="E317" s="521"/>
      <c r="F317" s="521"/>
      <c r="G317" s="438"/>
      <c r="H317" s="521"/>
      <c r="I317" s="521"/>
    </row>
    <row r="318" spans="1:9" x14ac:dyDescent="0.25">
      <c r="A318" s="449"/>
      <c r="B318" s="440" t="s">
        <v>505</v>
      </c>
      <c r="C318" s="441"/>
      <c r="D318" s="523">
        <v>2160</v>
      </c>
      <c r="E318" s="523"/>
      <c r="F318" s="523">
        <f>SUM(F316:F317)</f>
        <v>0</v>
      </c>
      <c r="G318" s="443"/>
      <c r="H318" s="524">
        <f>D318-F318</f>
        <v>2160</v>
      </c>
      <c r="I318" s="523"/>
    </row>
    <row r="319" spans="1:9" x14ac:dyDescent="0.25">
      <c r="A319" s="94"/>
      <c r="B319" s="457" t="s">
        <v>506</v>
      </c>
      <c r="C319" s="97">
        <f>SUM(C315:C318)</f>
        <v>8640</v>
      </c>
      <c r="D319" s="528">
        <f>D318</f>
        <v>2160</v>
      </c>
      <c r="E319" s="528"/>
      <c r="F319" s="528">
        <f>F318</f>
        <v>0</v>
      </c>
      <c r="G319" s="528"/>
      <c r="H319" s="529">
        <f>D319-F319</f>
        <v>2160</v>
      </c>
      <c r="I319" s="528">
        <f>I318</f>
        <v>0</v>
      </c>
    </row>
    <row r="320" spans="1:9" x14ac:dyDescent="0.25">
      <c r="A320" s="485" t="s">
        <v>350</v>
      </c>
      <c r="B320" s="486" t="s">
        <v>262</v>
      </c>
      <c r="C320" s="487">
        <v>44420</v>
      </c>
      <c r="D320" s="541"/>
      <c r="E320" s="541"/>
      <c r="F320" s="541"/>
      <c r="G320" s="488"/>
      <c r="H320" s="542"/>
      <c r="I320" s="541"/>
    </row>
    <row r="321" spans="1:9" x14ac:dyDescent="0.25">
      <c r="A321" s="490"/>
      <c r="B321" s="62"/>
      <c r="C321" s="56"/>
      <c r="D321" s="521"/>
      <c r="E321" s="521"/>
      <c r="F321" s="521"/>
      <c r="G321" s="438"/>
      <c r="H321" s="543"/>
      <c r="I321" s="521"/>
    </row>
    <row r="322" spans="1:9" x14ac:dyDescent="0.25">
      <c r="A322" s="490"/>
      <c r="B322" s="62"/>
      <c r="C322" s="56"/>
      <c r="D322" s="521"/>
      <c r="E322" s="521"/>
      <c r="F322" s="521"/>
      <c r="G322" s="438"/>
      <c r="H322" s="543"/>
      <c r="I322" s="521"/>
    </row>
    <row r="323" spans="1:9" x14ac:dyDescent="0.25">
      <c r="A323" s="449"/>
      <c r="B323" s="440" t="s">
        <v>507</v>
      </c>
      <c r="C323" s="441"/>
      <c r="D323" s="523"/>
      <c r="E323" s="523"/>
      <c r="F323" s="523">
        <f>SUM(F321:F322)</f>
        <v>0</v>
      </c>
      <c r="G323" s="443"/>
      <c r="H323" s="524"/>
      <c r="I323" s="523"/>
    </row>
    <row r="324" spans="1:9" x14ac:dyDescent="0.25">
      <c r="A324" s="94"/>
      <c r="B324" s="457" t="s">
        <v>508</v>
      </c>
      <c r="C324" s="97">
        <f>C320</f>
        <v>44420</v>
      </c>
      <c r="D324" s="528">
        <f>D323</f>
        <v>0</v>
      </c>
      <c r="E324" s="528"/>
      <c r="F324" s="528">
        <f>F323</f>
        <v>0</v>
      </c>
      <c r="G324" s="455"/>
      <c r="H324" s="529">
        <f>D324-F324</f>
        <v>0</v>
      </c>
      <c r="I324" s="528"/>
    </row>
    <row r="325" spans="1:9" x14ac:dyDescent="0.25">
      <c r="A325" s="359"/>
      <c r="B325" s="462" t="s">
        <v>265</v>
      </c>
      <c r="C325" s="98">
        <f>SUM(C324,C313,C319)</f>
        <v>148260</v>
      </c>
      <c r="D325" s="533">
        <f>SUM(D324,D313,D319)</f>
        <v>22560</v>
      </c>
      <c r="E325" s="533"/>
      <c r="F325" s="533">
        <f>SUM(F319,F324,F313)</f>
        <v>0</v>
      </c>
      <c r="G325" s="464"/>
      <c r="H325" s="534">
        <f>D325-F325</f>
        <v>22560</v>
      </c>
      <c r="I325" s="533"/>
    </row>
    <row r="326" spans="1:9" x14ac:dyDescent="0.25">
      <c r="A326" s="388"/>
      <c r="B326" s="492" t="s">
        <v>266</v>
      </c>
      <c r="C326" s="390">
        <f>SUM(C325,C293,C235,C81)</f>
        <v>906900</v>
      </c>
      <c r="D326" s="390">
        <f>SUM(D81+D235+D293+D325)</f>
        <v>145060</v>
      </c>
      <c r="E326" s="544"/>
      <c r="F326" s="545">
        <f>SUM(F325,F293,F235,F81)</f>
        <v>0</v>
      </c>
      <c r="G326" s="494"/>
      <c r="H326" s="546">
        <f>D326-F326</f>
        <v>145060</v>
      </c>
      <c r="I326" s="544"/>
    </row>
    <row r="327" spans="1:9" x14ac:dyDescent="0.25">
      <c r="A327" s="497">
        <v>5</v>
      </c>
      <c r="B327" s="498" t="s">
        <v>267</v>
      </c>
      <c r="C327" s="363"/>
      <c r="D327" s="525"/>
      <c r="E327" s="525"/>
      <c r="F327" s="525"/>
      <c r="G327" s="447"/>
      <c r="H327" s="525"/>
      <c r="I327" s="525"/>
    </row>
    <row r="328" spans="1:9" x14ac:dyDescent="0.25">
      <c r="A328" s="124">
        <v>5.0999999999999996</v>
      </c>
      <c r="B328" s="199" t="s">
        <v>268</v>
      </c>
      <c r="C328" s="56">
        <v>0</v>
      </c>
      <c r="D328" s="521"/>
      <c r="E328" s="521"/>
      <c r="F328" s="521"/>
      <c r="G328" s="438"/>
      <c r="H328" s="521"/>
      <c r="I328" s="521"/>
    </row>
    <row r="329" spans="1:9" x14ac:dyDescent="0.25">
      <c r="A329" s="388"/>
      <c r="B329" s="492" t="s">
        <v>270</v>
      </c>
      <c r="C329" s="390">
        <f>C328</f>
        <v>0</v>
      </c>
      <c r="D329" s="544">
        <f>D328</f>
        <v>0</v>
      </c>
      <c r="E329" s="544"/>
      <c r="F329" s="544">
        <f>F328</f>
        <v>0</v>
      </c>
      <c r="G329" s="494"/>
      <c r="H329" s="546">
        <f>D329-F329</f>
        <v>0</v>
      </c>
      <c r="I329" s="544"/>
    </row>
    <row r="330" spans="1:9" x14ac:dyDescent="0.25">
      <c r="A330" s="397">
        <v>6</v>
      </c>
      <c r="B330" s="499" t="s">
        <v>271</v>
      </c>
      <c r="C330" s="399"/>
      <c r="D330" s="525"/>
      <c r="E330" s="525"/>
      <c r="F330" s="525"/>
      <c r="G330" s="447"/>
      <c r="H330" s="525"/>
      <c r="I330" s="525"/>
    </row>
    <row r="331" spans="1:9" ht="25.5" x14ac:dyDescent="0.25">
      <c r="A331" s="209">
        <v>6.1</v>
      </c>
      <c r="B331" s="210" t="s">
        <v>272</v>
      </c>
      <c r="C331" s="56">
        <v>315000</v>
      </c>
      <c r="D331" s="521"/>
      <c r="E331" s="521"/>
      <c r="F331" s="521"/>
      <c r="G331" s="438"/>
      <c r="H331" s="521"/>
      <c r="I331" s="521"/>
    </row>
    <row r="332" spans="1:9" ht="33.75" customHeight="1" x14ac:dyDescent="0.25">
      <c r="A332" s="209"/>
      <c r="B332" s="210"/>
      <c r="C332" s="56"/>
      <c r="D332" s="521"/>
      <c r="E332" s="521"/>
      <c r="F332" s="521"/>
      <c r="G332" s="438"/>
      <c r="H332" s="521"/>
      <c r="I332" s="521"/>
    </row>
    <row r="333" spans="1:9" ht="30.75" customHeight="1" x14ac:dyDescent="0.25">
      <c r="A333" s="209"/>
      <c r="B333" s="210"/>
      <c r="C333" s="56"/>
      <c r="D333" s="521"/>
      <c r="E333" s="521"/>
      <c r="F333" s="521"/>
      <c r="G333" s="438"/>
      <c r="H333" s="521"/>
      <c r="I333" s="521"/>
    </row>
    <row r="334" spans="1:9" x14ac:dyDescent="0.25">
      <c r="A334" s="209"/>
      <c r="B334" s="210"/>
      <c r="C334" s="56"/>
      <c r="D334" s="521"/>
      <c r="E334" s="521"/>
      <c r="F334" s="521"/>
      <c r="G334" s="438"/>
      <c r="H334" s="521"/>
      <c r="I334" s="521"/>
    </row>
    <row r="335" spans="1:9" x14ac:dyDescent="0.25">
      <c r="A335" s="500"/>
      <c r="B335" s="501" t="s">
        <v>515</v>
      </c>
      <c r="C335" s="441"/>
      <c r="D335" s="523">
        <v>78750</v>
      </c>
      <c r="E335" s="523"/>
      <c r="F335" s="523">
        <f>SUM(F332:F334)</f>
        <v>0</v>
      </c>
      <c r="G335" s="443"/>
      <c r="H335" s="524">
        <f>D335-F335</f>
        <v>78750</v>
      </c>
      <c r="I335" s="523"/>
    </row>
    <row r="336" spans="1:9" ht="35.25" customHeight="1" x14ac:dyDescent="0.25">
      <c r="A336" s="209">
        <v>6.2</v>
      </c>
      <c r="B336" s="210" t="s">
        <v>275</v>
      </c>
      <c r="C336" s="56">
        <v>252000</v>
      </c>
      <c r="D336" s="521"/>
      <c r="E336" s="521"/>
      <c r="F336" s="521"/>
      <c r="G336" s="438"/>
      <c r="H336" s="521"/>
      <c r="I336" s="521"/>
    </row>
    <row r="337" spans="1:9" x14ac:dyDescent="0.25">
      <c r="A337" s="209"/>
      <c r="B337" s="210"/>
      <c r="C337" s="56"/>
      <c r="D337" s="521"/>
      <c r="E337" s="521"/>
      <c r="F337" s="521"/>
      <c r="G337" s="438"/>
      <c r="H337" s="521"/>
      <c r="I337" s="521"/>
    </row>
    <row r="338" spans="1:9" x14ac:dyDescent="0.25">
      <c r="A338" s="209"/>
      <c r="B338" s="210"/>
      <c r="C338" s="56"/>
      <c r="D338" s="521"/>
      <c r="E338" s="521"/>
      <c r="F338" s="521"/>
      <c r="G338" s="438"/>
      <c r="H338" s="521"/>
      <c r="I338" s="521"/>
    </row>
    <row r="339" spans="1:9" ht="27" customHeight="1" x14ac:dyDescent="0.25">
      <c r="A339" s="209"/>
      <c r="B339" s="210"/>
      <c r="C339" s="56"/>
      <c r="D339" s="521"/>
      <c r="E339" s="521"/>
      <c r="F339" s="521"/>
      <c r="G339" s="438"/>
      <c r="H339" s="521"/>
      <c r="I339" s="521"/>
    </row>
    <row r="340" spans="1:9" x14ac:dyDescent="0.25">
      <c r="A340" s="500"/>
      <c r="B340" s="501" t="s">
        <v>519</v>
      </c>
      <c r="C340" s="441"/>
      <c r="D340" s="523">
        <v>63000</v>
      </c>
      <c r="E340" s="523"/>
      <c r="F340" s="523">
        <f>SUM(F337:F339)</f>
        <v>0</v>
      </c>
      <c r="G340" s="443"/>
      <c r="H340" s="524">
        <f>D340-F340</f>
        <v>63000</v>
      </c>
      <c r="I340" s="523"/>
    </row>
    <row r="341" spans="1:9" ht="25.5" x14ac:dyDescent="0.25">
      <c r="A341" s="209">
        <v>6.3</v>
      </c>
      <c r="B341" s="210" t="s">
        <v>277</v>
      </c>
      <c r="C341" s="56">
        <v>604800</v>
      </c>
      <c r="D341" s="521"/>
      <c r="E341" s="521"/>
      <c r="F341" s="521"/>
      <c r="G341" s="438"/>
      <c r="H341" s="521"/>
      <c r="I341" s="521"/>
    </row>
    <row r="342" spans="1:9" ht="36" customHeight="1" x14ac:dyDescent="0.25">
      <c r="A342" s="209"/>
      <c r="B342" s="210"/>
      <c r="C342" s="56"/>
      <c r="D342" s="521"/>
      <c r="E342" s="521"/>
      <c r="F342" s="521"/>
      <c r="G342" s="438"/>
      <c r="H342" s="521"/>
      <c r="I342" s="521"/>
    </row>
    <row r="343" spans="1:9" ht="38.25" customHeight="1" x14ac:dyDescent="0.25">
      <c r="A343" s="209"/>
      <c r="B343" s="210"/>
      <c r="C343" s="56"/>
      <c r="D343" s="521"/>
      <c r="E343" s="521"/>
      <c r="F343" s="521"/>
      <c r="G343" s="438"/>
      <c r="H343" s="521"/>
      <c r="I343" s="521"/>
    </row>
    <row r="344" spans="1:9" x14ac:dyDescent="0.25">
      <c r="A344" s="209"/>
      <c r="B344" s="210"/>
      <c r="C344" s="56"/>
      <c r="D344" s="521"/>
      <c r="E344" s="521"/>
      <c r="F344" s="521"/>
      <c r="G344" s="438"/>
      <c r="H344" s="521"/>
      <c r="I344" s="521"/>
    </row>
    <row r="345" spans="1:9" x14ac:dyDescent="0.25">
      <c r="A345" s="209"/>
      <c r="B345" s="210"/>
      <c r="C345" s="56"/>
      <c r="D345" s="521"/>
      <c r="E345" s="521"/>
      <c r="F345" s="521"/>
      <c r="G345" s="438"/>
      <c r="H345" s="521"/>
      <c r="I345" s="521"/>
    </row>
    <row r="346" spans="1:9" x14ac:dyDescent="0.25">
      <c r="A346" s="500"/>
      <c r="B346" s="501" t="s">
        <v>523</v>
      </c>
      <c r="C346" s="441"/>
      <c r="D346" s="523">
        <v>151200</v>
      </c>
      <c r="E346" s="523"/>
      <c r="F346" s="523">
        <f>SUM(F342:F345)</f>
        <v>0</v>
      </c>
      <c r="G346" s="443"/>
      <c r="H346" s="524">
        <f>D346-F346</f>
        <v>151200</v>
      </c>
      <c r="I346" s="523"/>
    </row>
    <row r="347" spans="1:9" x14ac:dyDescent="0.25">
      <c r="A347" s="209">
        <v>6.4</v>
      </c>
      <c r="B347" s="210" t="s">
        <v>352</v>
      </c>
      <c r="C347" s="67">
        <v>126000</v>
      </c>
      <c r="D347" s="521"/>
      <c r="E347" s="521"/>
      <c r="F347" s="521"/>
      <c r="G347" s="438"/>
      <c r="H347" s="521"/>
      <c r="I347" s="521"/>
    </row>
    <row r="348" spans="1:9" ht="39" customHeight="1" x14ac:dyDescent="0.25">
      <c r="A348" s="209"/>
      <c r="B348" s="210"/>
      <c r="C348" s="67"/>
      <c r="D348" s="521"/>
      <c r="E348" s="521"/>
      <c r="F348" s="521"/>
      <c r="G348" s="438"/>
      <c r="H348" s="521"/>
      <c r="I348" s="521"/>
    </row>
    <row r="349" spans="1:9" x14ac:dyDescent="0.25">
      <c r="A349" s="500"/>
      <c r="B349" s="501" t="s">
        <v>527</v>
      </c>
      <c r="C349" s="441"/>
      <c r="D349" s="523">
        <v>31500</v>
      </c>
      <c r="E349" s="523"/>
      <c r="F349" s="523">
        <f>SUM(F348:F348)</f>
        <v>0</v>
      </c>
      <c r="G349" s="443"/>
      <c r="H349" s="524">
        <f>D349-F349</f>
        <v>31500</v>
      </c>
      <c r="I349" s="523"/>
    </row>
    <row r="350" spans="1:9" ht="25.5" x14ac:dyDescent="0.25">
      <c r="A350" s="209">
        <v>6.5</v>
      </c>
      <c r="B350" s="210" t="s">
        <v>281</v>
      </c>
      <c r="C350" s="56">
        <v>96000</v>
      </c>
      <c r="D350" s="521"/>
      <c r="E350" s="521"/>
      <c r="F350" s="521"/>
      <c r="G350" s="438"/>
      <c r="H350" s="543"/>
      <c r="I350" s="521"/>
    </row>
    <row r="351" spans="1:9" x14ac:dyDescent="0.25">
      <c r="A351" s="209"/>
      <c r="B351" s="210"/>
      <c r="C351" s="56"/>
      <c r="D351" s="521"/>
      <c r="E351" s="521"/>
      <c r="F351" s="521"/>
      <c r="G351" s="438"/>
      <c r="H351" s="543"/>
      <c r="I351" s="521"/>
    </row>
    <row r="352" spans="1:9" x14ac:dyDescent="0.25">
      <c r="A352" s="209"/>
      <c r="B352" s="210"/>
      <c r="C352" s="56"/>
      <c r="D352" s="521"/>
      <c r="E352" s="521"/>
      <c r="F352" s="521"/>
      <c r="G352" s="438"/>
      <c r="H352" s="543"/>
      <c r="I352" s="521"/>
    </row>
    <row r="353" spans="1:9" x14ac:dyDescent="0.25">
      <c r="A353" s="500"/>
      <c r="B353" s="501" t="s">
        <v>531</v>
      </c>
      <c r="C353" s="441"/>
      <c r="D353" s="523">
        <v>24000</v>
      </c>
      <c r="E353" s="523"/>
      <c r="F353" s="523">
        <f>SUM(F352:F352)</f>
        <v>0</v>
      </c>
      <c r="G353" s="443"/>
      <c r="H353" s="524">
        <f>D353-F353</f>
        <v>24000</v>
      </c>
      <c r="I353" s="523"/>
    </row>
    <row r="354" spans="1:9" x14ac:dyDescent="0.25">
      <c r="A354" s="401"/>
      <c r="B354" s="492" t="s">
        <v>283</v>
      </c>
      <c r="C354" s="390">
        <f>SUM(C331:C350)</f>
        <v>1393800</v>
      </c>
      <c r="D354" s="544">
        <f>SUM(D349,D346,D340,D335,D353)</f>
        <v>348450</v>
      </c>
      <c r="E354" s="544"/>
      <c r="F354" s="544">
        <f>SUM(F349,F346,F340,F335,F353)</f>
        <v>0</v>
      </c>
      <c r="G354" s="544"/>
      <c r="H354" s="544">
        <f>D354-F354</f>
        <v>348450</v>
      </c>
      <c r="I354" s="544"/>
    </row>
    <row r="355" spans="1:9" x14ac:dyDescent="0.25">
      <c r="A355" s="131">
        <v>7</v>
      </c>
      <c r="B355" s="502" t="s">
        <v>284</v>
      </c>
      <c r="C355" s="363"/>
      <c r="D355" s="525"/>
      <c r="E355" s="525"/>
      <c r="F355" s="525"/>
      <c r="G355" s="447"/>
      <c r="H355" s="525"/>
      <c r="I355" s="525"/>
    </row>
    <row r="356" spans="1:9" x14ac:dyDescent="0.25">
      <c r="A356" s="209">
        <v>7.1</v>
      </c>
      <c r="B356" s="199" t="s">
        <v>353</v>
      </c>
      <c r="C356" s="56">
        <v>90000</v>
      </c>
      <c r="D356" s="521"/>
      <c r="E356" s="521"/>
      <c r="F356" s="521"/>
      <c r="G356" s="438"/>
      <c r="H356" s="521"/>
      <c r="I356" s="521"/>
    </row>
    <row r="357" spans="1:9" ht="54.75" customHeight="1" x14ac:dyDescent="0.25">
      <c r="A357" s="209"/>
      <c r="B357" s="199"/>
      <c r="C357" s="56"/>
      <c r="D357" s="521"/>
      <c r="E357" s="521"/>
      <c r="F357" s="521"/>
      <c r="G357" s="438"/>
      <c r="H357" s="521"/>
      <c r="I357" s="521"/>
    </row>
    <row r="358" spans="1:9" x14ac:dyDescent="0.25">
      <c r="A358" s="209"/>
      <c r="B358" s="199"/>
      <c r="C358" s="56"/>
      <c r="D358" s="521"/>
      <c r="E358" s="521"/>
      <c r="F358" s="521"/>
      <c r="G358" s="438"/>
      <c r="H358" s="521"/>
      <c r="I358" s="521"/>
    </row>
    <row r="359" spans="1:9" x14ac:dyDescent="0.25">
      <c r="A359" s="500"/>
      <c r="B359" s="503" t="s">
        <v>534</v>
      </c>
      <c r="C359" s="441"/>
      <c r="D359" s="523">
        <v>15000</v>
      </c>
      <c r="E359" s="523"/>
      <c r="F359" s="523">
        <f>SUM(F357:F358)</f>
        <v>0</v>
      </c>
      <c r="G359" s="443"/>
      <c r="H359" s="524">
        <f>D359-F359</f>
        <v>15000</v>
      </c>
      <c r="I359" s="523"/>
    </row>
    <row r="360" spans="1:9" ht="45" customHeight="1" x14ac:dyDescent="0.25">
      <c r="A360" s="209">
        <v>7.2</v>
      </c>
      <c r="B360" s="84" t="s">
        <v>286</v>
      </c>
      <c r="C360" s="56">
        <v>30000</v>
      </c>
      <c r="D360" s="521"/>
      <c r="E360" s="521"/>
      <c r="F360" s="521"/>
      <c r="G360" s="438"/>
      <c r="H360" s="521"/>
      <c r="I360" s="521"/>
    </row>
    <row r="361" spans="1:9" ht="42" customHeight="1" x14ac:dyDescent="0.25">
      <c r="A361" s="209"/>
      <c r="B361" s="84"/>
      <c r="C361" s="56"/>
      <c r="D361" s="521"/>
      <c r="E361" s="521"/>
      <c r="F361" s="521"/>
      <c r="G361" s="438"/>
      <c r="H361" s="521"/>
      <c r="I361" s="521"/>
    </row>
    <row r="362" spans="1:9" x14ac:dyDescent="0.25">
      <c r="A362" s="209"/>
      <c r="B362" s="84"/>
      <c r="C362" s="56"/>
      <c r="D362" s="521"/>
      <c r="E362" s="521"/>
      <c r="F362" s="521"/>
      <c r="G362" s="438"/>
      <c r="H362" s="521"/>
      <c r="I362" s="521"/>
    </row>
    <row r="363" spans="1:9" x14ac:dyDescent="0.25">
      <c r="A363" s="500"/>
      <c r="B363" s="453" t="s">
        <v>542</v>
      </c>
      <c r="C363" s="441"/>
      <c r="D363" s="523">
        <v>7500</v>
      </c>
      <c r="E363" s="523"/>
      <c r="F363" s="523">
        <f>SUM(F361:F362)</f>
        <v>0</v>
      </c>
      <c r="G363" s="443"/>
      <c r="H363" s="524">
        <f>D363-F363</f>
        <v>7500</v>
      </c>
      <c r="I363" s="523"/>
    </row>
    <row r="364" spans="1:9" ht="38.25" x14ac:dyDescent="0.25">
      <c r="A364" s="209">
        <v>7.3</v>
      </c>
      <c r="B364" s="84" t="s">
        <v>288</v>
      </c>
      <c r="C364" s="56">
        <v>30000</v>
      </c>
      <c r="D364" s="521"/>
      <c r="E364" s="521"/>
      <c r="F364" s="521"/>
      <c r="G364" s="438"/>
      <c r="H364" s="521"/>
      <c r="I364" s="521"/>
    </row>
    <row r="365" spans="1:9" x14ac:dyDescent="0.25">
      <c r="A365" s="209"/>
      <c r="B365" s="84"/>
      <c r="C365" s="56"/>
      <c r="D365" s="521"/>
      <c r="E365" s="521"/>
      <c r="F365" s="521"/>
      <c r="G365" s="438"/>
      <c r="H365" s="521"/>
      <c r="I365" s="521"/>
    </row>
    <row r="366" spans="1:9" x14ac:dyDescent="0.25">
      <c r="A366" s="209"/>
      <c r="B366" s="84"/>
      <c r="C366" s="56"/>
      <c r="D366" s="521"/>
      <c r="E366" s="521"/>
      <c r="F366" s="521"/>
      <c r="G366" s="438"/>
      <c r="H366" s="521"/>
      <c r="I366" s="521"/>
    </row>
    <row r="367" spans="1:9" x14ac:dyDescent="0.25">
      <c r="A367" s="500"/>
      <c r="B367" s="453" t="s">
        <v>546</v>
      </c>
      <c r="C367" s="441"/>
      <c r="D367" s="523">
        <v>7500</v>
      </c>
      <c r="E367" s="523"/>
      <c r="F367" s="523">
        <f>SUM(F365:F366)</f>
        <v>0</v>
      </c>
      <c r="G367" s="443"/>
      <c r="H367" s="524">
        <f>D367-F367</f>
        <v>7500</v>
      </c>
      <c r="I367" s="523"/>
    </row>
    <row r="368" spans="1:9" ht="27.75" customHeight="1" x14ac:dyDescent="0.25">
      <c r="A368" s="209">
        <v>7.4</v>
      </c>
      <c r="B368" s="51" t="s">
        <v>289</v>
      </c>
      <c r="C368" s="56">
        <v>76800</v>
      </c>
      <c r="D368" s="521"/>
      <c r="E368" s="521"/>
      <c r="F368" s="521"/>
      <c r="G368" s="438"/>
      <c r="H368" s="521"/>
      <c r="I368" s="521"/>
    </row>
    <row r="369" spans="1:9" x14ac:dyDescent="0.25">
      <c r="A369" s="209"/>
      <c r="B369" s="51"/>
      <c r="C369" s="56"/>
      <c r="D369" s="521"/>
      <c r="E369" s="521"/>
      <c r="F369" s="521"/>
      <c r="G369" s="438"/>
      <c r="H369" s="521"/>
      <c r="I369" s="521"/>
    </row>
    <row r="370" spans="1:9" x14ac:dyDescent="0.25">
      <c r="A370" s="500"/>
      <c r="B370" s="440" t="s">
        <v>559</v>
      </c>
      <c r="C370" s="441"/>
      <c r="D370" s="523">
        <v>19200</v>
      </c>
      <c r="E370" s="523"/>
      <c r="F370" s="523">
        <f>SUM(F369:F369)</f>
        <v>0</v>
      </c>
      <c r="G370" s="443"/>
      <c r="H370" s="524">
        <f>D370-F370</f>
        <v>19200</v>
      </c>
      <c r="I370" s="523"/>
    </row>
    <row r="371" spans="1:9" x14ac:dyDescent="0.25">
      <c r="A371" s="401"/>
      <c r="B371" s="504" t="s">
        <v>291</v>
      </c>
      <c r="C371" s="390">
        <f>SUM(C356:C368)</f>
        <v>226800</v>
      </c>
      <c r="D371" s="544">
        <f>SUM(D370,D367,D363,D359)</f>
        <v>49200</v>
      </c>
      <c r="E371" s="544"/>
      <c r="F371" s="544">
        <f>SUM(F370,F367,F363,F359)</f>
        <v>0</v>
      </c>
      <c r="G371" s="494"/>
      <c r="H371" s="544">
        <f>SUM(H370,H367,H363,H359)</f>
        <v>49200</v>
      </c>
      <c r="I371" s="544"/>
    </row>
    <row r="372" spans="1:9" x14ac:dyDescent="0.25">
      <c r="A372" s="397">
        <v>8</v>
      </c>
      <c r="B372" s="499" t="s">
        <v>292</v>
      </c>
      <c r="C372" s="399"/>
      <c r="D372" s="525"/>
      <c r="E372" s="525"/>
      <c r="F372" s="525"/>
      <c r="G372" s="447"/>
      <c r="H372" s="525"/>
      <c r="I372" s="525"/>
    </row>
    <row r="373" spans="1:9" ht="25.5" x14ac:dyDescent="0.25">
      <c r="A373" s="209">
        <v>8.1</v>
      </c>
      <c r="B373" s="51" t="s">
        <v>293</v>
      </c>
      <c r="C373" s="56">
        <v>102000</v>
      </c>
      <c r="D373" s="521"/>
      <c r="E373" s="521"/>
      <c r="F373" s="521"/>
      <c r="G373" s="438"/>
      <c r="H373" s="521"/>
      <c r="I373" s="521"/>
    </row>
    <row r="374" spans="1:9" ht="39" customHeight="1" x14ac:dyDescent="0.25">
      <c r="A374" s="209"/>
      <c r="B374" s="51"/>
      <c r="C374" s="56"/>
      <c r="D374" s="521"/>
      <c r="E374" s="521"/>
      <c r="F374" s="521"/>
      <c r="G374" s="438"/>
      <c r="H374" s="521"/>
      <c r="I374" s="521"/>
    </row>
    <row r="375" spans="1:9" x14ac:dyDescent="0.25">
      <c r="A375" s="209"/>
      <c r="B375" s="51"/>
      <c r="C375" s="56"/>
      <c r="D375" s="521"/>
      <c r="E375" s="521"/>
      <c r="F375" s="521"/>
      <c r="G375" s="438"/>
      <c r="H375" s="521"/>
      <c r="I375" s="521"/>
    </row>
    <row r="376" spans="1:9" x14ac:dyDescent="0.25">
      <c r="A376" s="500"/>
      <c r="B376" s="440" t="s">
        <v>566</v>
      </c>
      <c r="C376" s="441"/>
      <c r="D376" s="523">
        <v>25500</v>
      </c>
      <c r="E376" s="523"/>
      <c r="F376" s="523">
        <f>SUM(F374:F375)</f>
        <v>0</v>
      </c>
      <c r="G376" s="443"/>
      <c r="H376" s="524">
        <f>D376-F376</f>
        <v>25500</v>
      </c>
      <c r="I376" s="523"/>
    </row>
    <row r="377" spans="1:9" ht="25.5" x14ac:dyDescent="0.25">
      <c r="A377" s="209">
        <v>8.1999999999999993</v>
      </c>
      <c r="B377" s="51" t="s">
        <v>296</v>
      </c>
      <c r="C377" s="56">
        <v>24000</v>
      </c>
      <c r="D377" s="521"/>
      <c r="E377" s="521"/>
      <c r="F377" s="521"/>
      <c r="G377" s="438"/>
      <c r="H377" s="521"/>
      <c r="I377" s="521"/>
    </row>
    <row r="378" spans="1:9" ht="17.25" customHeight="1" x14ac:dyDescent="0.25">
      <c r="A378" s="209"/>
      <c r="B378" s="51"/>
      <c r="C378" s="56"/>
      <c r="D378" s="521"/>
      <c r="E378" s="505"/>
      <c r="F378" s="547"/>
      <c r="G378" s="548"/>
      <c r="H378" s="521"/>
      <c r="I378" s="521"/>
    </row>
    <row r="379" spans="1:9" ht="17.25" customHeight="1" x14ac:dyDescent="0.25">
      <c r="A379" s="209"/>
      <c r="B379" s="51"/>
      <c r="C379" s="56"/>
      <c r="D379" s="521"/>
      <c r="E379" s="505"/>
      <c r="F379" s="547"/>
      <c r="G379" s="548"/>
      <c r="H379" s="521"/>
      <c r="I379" s="521"/>
    </row>
    <row r="380" spans="1:9" x14ac:dyDescent="0.25">
      <c r="A380" s="500"/>
      <c r="B380" s="440" t="s">
        <v>586</v>
      </c>
      <c r="C380" s="441"/>
      <c r="D380" s="523">
        <v>6000</v>
      </c>
      <c r="E380" s="523"/>
      <c r="F380" s="523">
        <f>SUM(F378:F379)</f>
        <v>0</v>
      </c>
      <c r="G380" s="443"/>
      <c r="H380" s="524">
        <f>D380-F380</f>
        <v>6000</v>
      </c>
      <c r="I380" s="523"/>
    </row>
    <row r="381" spans="1:9" x14ac:dyDescent="0.25">
      <c r="A381" s="209">
        <v>8.3000000000000007</v>
      </c>
      <c r="B381" s="51" t="s">
        <v>298</v>
      </c>
      <c r="C381" s="56">
        <v>1500</v>
      </c>
      <c r="D381" s="521"/>
      <c r="E381" s="521"/>
      <c r="F381" s="521"/>
      <c r="G381" s="438"/>
      <c r="H381" s="521"/>
      <c r="I381" s="521"/>
    </row>
    <row r="382" spans="1:9" ht="44.25" customHeight="1" x14ac:dyDescent="0.25">
      <c r="A382" s="209"/>
      <c r="B382" s="51"/>
      <c r="C382" s="56"/>
      <c r="D382" s="521"/>
      <c r="E382" s="521"/>
      <c r="F382" s="521"/>
      <c r="G382" s="438"/>
      <c r="H382" s="521"/>
      <c r="I382" s="521"/>
    </row>
    <row r="383" spans="1:9" x14ac:dyDescent="0.25">
      <c r="A383" s="500"/>
      <c r="B383" s="440" t="s">
        <v>589</v>
      </c>
      <c r="C383" s="441"/>
      <c r="D383" s="523">
        <v>1500</v>
      </c>
      <c r="E383" s="523"/>
      <c r="F383" s="523">
        <f>F382</f>
        <v>0</v>
      </c>
      <c r="G383" s="443"/>
      <c r="H383" s="524">
        <f>D383-F383</f>
        <v>1500</v>
      </c>
      <c r="I383" s="523"/>
    </row>
    <row r="384" spans="1:9" x14ac:dyDescent="0.25">
      <c r="A384" s="209">
        <v>8.4</v>
      </c>
      <c r="B384" s="51" t="s">
        <v>300</v>
      </c>
      <c r="C384" s="56">
        <v>12000</v>
      </c>
      <c r="D384" s="521"/>
      <c r="E384" s="521"/>
      <c r="F384" s="521"/>
      <c r="G384" s="438"/>
      <c r="H384" s="521"/>
      <c r="I384" s="521"/>
    </row>
    <row r="385" spans="1:9" x14ac:dyDescent="0.25">
      <c r="A385" s="209"/>
      <c r="B385" s="51"/>
      <c r="C385" s="56"/>
      <c r="D385" s="521"/>
      <c r="E385" s="521"/>
      <c r="F385" s="521"/>
      <c r="G385" s="438"/>
      <c r="H385" s="521"/>
      <c r="I385" s="521"/>
    </row>
    <row r="386" spans="1:9" x14ac:dyDescent="0.25">
      <c r="A386" s="500"/>
      <c r="B386" s="440" t="s">
        <v>590</v>
      </c>
      <c r="C386" s="441"/>
      <c r="D386" s="523">
        <v>0</v>
      </c>
      <c r="E386" s="523"/>
      <c r="F386" s="523">
        <f>F385</f>
        <v>0</v>
      </c>
      <c r="G386" s="443"/>
      <c r="H386" s="524">
        <f>D386-F386</f>
        <v>0</v>
      </c>
      <c r="I386" s="523"/>
    </row>
    <row r="387" spans="1:9" x14ac:dyDescent="0.25">
      <c r="A387" s="209">
        <v>8.5</v>
      </c>
      <c r="B387" s="51" t="s">
        <v>302</v>
      </c>
      <c r="C387" s="56">
        <v>8000</v>
      </c>
      <c r="D387" s="521"/>
      <c r="E387" s="521"/>
      <c r="F387" s="521"/>
      <c r="G387" s="438"/>
      <c r="H387" s="521"/>
      <c r="I387" s="521"/>
    </row>
    <row r="388" spans="1:9" x14ac:dyDescent="0.25">
      <c r="A388" s="209"/>
      <c r="B388" s="51"/>
      <c r="C388" s="56"/>
      <c r="D388" s="521"/>
      <c r="E388" s="521"/>
      <c r="F388" s="521"/>
      <c r="G388" s="438"/>
      <c r="H388" s="521"/>
      <c r="I388" s="521"/>
    </row>
    <row r="389" spans="1:9" x14ac:dyDescent="0.25">
      <c r="A389" s="209"/>
      <c r="B389" s="51"/>
      <c r="C389" s="56"/>
      <c r="D389" s="521"/>
      <c r="E389" s="521"/>
      <c r="F389" s="521"/>
      <c r="G389" s="438"/>
      <c r="H389" s="521"/>
      <c r="I389" s="521"/>
    </row>
    <row r="390" spans="1:9" x14ac:dyDescent="0.25">
      <c r="A390" s="500"/>
      <c r="B390" s="440" t="s">
        <v>591</v>
      </c>
      <c r="C390" s="441"/>
      <c r="D390" s="523">
        <v>4000</v>
      </c>
      <c r="E390" s="523"/>
      <c r="F390" s="523">
        <f>SUM(F388:F389)</f>
        <v>0</v>
      </c>
      <c r="G390" s="443"/>
      <c r="H390" s="524">
        <f>D390-F390</f>
        <v>4000</v>
      </c>
      <c r="I390" s="523"/>
    </row>
    <row r="391" spans="1:9" x14ac:dyDescent="0.25">
      <c r="A391" s="507"/>
      <c r="B391" s="492" t="s">
        <v>307</v>
      </c>
      <c r="C391" s="390">
        <f>SUM(C373:C390)</f>
        <v>147500</v>
      </c>
      <c r="D391" s="544">
        <f>SUM(,D390,D386,D383,D380,D376)</f>
        <v>37000</v>
      </c>
      <c r="E391" s="544"/>
      <c r="F391" s="544">
        <f>SUM(,F390,F386,F383,F380,F376)</f>
        <v>0</v>
      </c>
      <c r="G391" s="544"/>
      <c r="H391" s="544">
        <f>SUM(,H390,H386,H383,H380,H376)</f>
        <v>37000</v>
      </c>
      <c r="I391" s="544"/>
    </row>
    <row r="392" spans="1:9" x14ac:dyDescent="0.25">
      <c r="A392" s="407"/>
      <c r="B392" s="508" t="s">
        <v>308</v>
      </c>
      <c r="C392" s="245">
        <f>SUM(C391,C371,C354,C329,C326)</f>
        <v>2675000</v>
      </c>
      <c r="D392" s="549">
        <f>SUM(D391,D371,D354,D329,D326)</f>
        <v>579710</v>
      </c>
      <c r="E392" s="550"/>
      <c r="F392" s="549">
        <f>SUM(F391,F371,F354,F329,F326)</f>
        <v>0</v>
      </c>
      <c r="G392" s="510"/>
      <c r="H392" s="549">
        <f>D392-F392</f>
        <v>579710</v>
      </c>
      <c r="I392" s="551"/>
    </row>
    <row r="395" spans="1:9" x14ac:dyDescent="0.25">
      <c r="F395" s="334"/>
    </row>
  </sheetData>
  <mergeCells count="17">
    <mergeCell ref="E4:F4"/>
    <mergeCell ref="G4:I5"/>
    <mergeCell ref="B1:D1"/>
    <mergeCell ref="A9:B9"/>
    <mergeCell ref="E9:H9"/>
    <mergeCell ref="A2:I2"/>
    <mergeCell ref="A3:I3"/>
    <mergeCell ref="A4:C5"/>
    <mergeCell ref="D4:D5"/>
    <mergeCell ref="A10:B10"/>
    <mergeCell ref="E10:I11"/>
    <mergeCell ref="A11:B11"/>
    <mergeCell ref="A6:B6"/>
    <mergeCell ref="E6:G6"/>
    <mergeCell ref="H6:I6"/>
    <mergeCell ref="A7:B7"/>
    <mergeCell ref="A8:B8"/>
  </mergeCells>
  <pageMargins left="3.9583333333333297E-2" right="3.9583333333333297E-2" top="0.35416666666666702" bottom="0.35416666666666702" header="0.511811023622047" footer="0.511811023622047"/>
  <pageSetup paperSize="9" scale="7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6413f50-af0f-436f-bd6d-94004005c285" xsi:nil="true"/>
    <lcf76f155ced4ddcb4097134ff3c332f xmlns="d7bb5cea-979b-4c7b-b83c-052c1a99aa1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F464A8A4668EB48A6789B415CAB151C" ma:contentTypeVersion="20" ma:contentTypeDescription="Create a new document." ma:contentTypeScope="" ma:versionID="495b297a5f7271fb5572e989967eedb0">
  <xsd:schema xmlns:xsd="http://www.w3.org/2001/XMLSchema" xmlns:xs="http://www.w3.org/2001/XMLSchema" xmlns:p="http://schemas.microsoft.com/office/2006/metadata/properties" xmlns:ns2="d7bb5cea-979b-4c7b-b83c-052c1a99aa1b" xmlns:ns3="b6413f50-af0f-436f-bd6d-94004005c285" targetNamespace="http://schemas.microsoft.com/office/2006/metadata/properties" ma:root="true" ma:fieldsID="2acbce8a3f26d013721a4538b854b439" ns2:_="" ns3:_="">
    <xsd:import namespace="d7bb5cea-979b-4c7b-b83c-052c1a99aa1b"/>
    <xsd:import namespace="b6413f50-af0f-436f-bd6d-94004005c2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b5cea-979b-4c7b-b83c-052c1a99a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61e7b85-f007-4082-8605-4dc1ac21dd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413f50-af0f-436f-bd6d-94004005c28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a191572-c498-4e8e-82d9-35a02693086e}" ma:internalName="TaxCatchAll" ma:showField="CatchAllData" ma:web="b6413f50-af0f-436f-bd6d-94004005c2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E4C3D6-CAF4-441C-8D87-D4A0222AC481}">
  <ds:schemaRefs>
    <ds:schemaRef ds:uri="http://schemas.microsoft.com/office/2006/metadata/properties"/>
    <ds:schemaRef ds:uri="http://schemas.microsoft.com/office/infopath/2007/PartnerControls"/>
    <ds:schemaRef ds:uri="b6413f50-af0f-436f-bd6d-94004005c285"/>
    <ds:schemaRef ds:uri="d7bb5cea-979b-4c7b-b83c-052c1a99aa1b"/>
  </ds:schemaRefs>
</ds:datastoreItem>
</file>

<file path=customXml/itemProps2.xml><?xml version="1.0" encoding="utf-8"?>
<ds:datastoreItem xmlns:ds="http://schemas.openxmlformats.org/officeDocument/2006/customXml" ds:itemID="{DF9D7441-5FDB-4FB4-87B4-DD6EBB4019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bb5cea-979b-4c7b-b83c-052c1a99aa1b"/>
    <ds:schemaRef ds:uri="b6413f50-af0f-436f-bd6d-94004005c2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EF360C-098F-4D4D-BEFC-52A22E0E6F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Yr-2Approved Budget</vt:lpstr>
      <vt:lpstr>Summary Sheet</vt:lpstr>
      <vt:lpstr>Budget Comparison</vt:lpstr>
      <vt:lpstr> Qtr-1 April-24 to June-24 </vt:lpstr>
      <vt:lpstr> Qtr- 2 July-24 to Sept-24  (2)</vt:lpstr>
      <vt:lpstr> Qtr-3 Octo-24 to Dec-24</vt:lpstr>
      <vt:lpstr> Qtr-4 Jan-25 to march-25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Raju Sharma</cp:lastModifiedBy>
  <cp:lastPrinted>2024-07-10T05:36:37Z</cp:lastPrinted>
  <dcterms:created xsi:type="dcterms:W3CDTF">2024-07-08T14:37:50Z</dcterms:created>
  <dcterms:modified xsi:type="dcterms:W3CDTF">2025-01-06T11:30:27Z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2023-06-05T06:25:51Z</dcterms:created>
  <dc:creator>Mukul Harishchandra</dc:creator>
  <dc:description/>
  <dc:language>en-US</dc:language>
  <cp:lastModifiedBy>HP</cp:lastModifiedBy>
  <cp:lastPrinted>2024-07-04T11:02:42Z</cp:lastPrinted>
  <dcterms:modified xsi:type="dcterms:W3CDTF">2024-07-06T10:08:08Z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0x0101004F464A8A4668EB48A6789B415CAB151C</vt:lpwstr>
  </property>
  <property fmtid="{D5CDD505-2E9C-101B-9397-08002B2CF9AE}" pid="3" name="MediaServiceImageTags">
    <vt:lpwstr/>
  </property>
</Properties>
</file>